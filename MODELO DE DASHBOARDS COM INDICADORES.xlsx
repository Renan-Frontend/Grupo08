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val\Dropbox\UFG\BRISA\"/>
    </mc:Choice>
  </mc:AlternateContent>
  <xr:revisionPtr revIDLastSave="0" documentId="13_ncr:1_{4D0D360E-3AEF-4673-9E88-E12F975647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 2023 - 2024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8" i="2" l="1"/>
  <c r="AI25" i="2"/>
  <c r="AI26" i="2"/>
  <c r="AI21" i="2"/>
  <c r="AI22" i="2"/>
  <c r="AI17" i="2"/>
  <c r="AI16" i="2"/>
  <c r="AI13" i="2"/>
  <c r="AI9" i="2"/>
  <c r="AI7" i="2"/>
  <c r="AI5" i="2"/>
  <c r="AI3" i="2"/>
  <c r="AI24" i="2"/>
  <c r="AI23" i="2"/>
  <c r="AI20" i="2"/>
  <c r="AI19" i="2"/>
  <c r="AI15" i="2"/>
  <c r="AI14" i="2"/>
  <c r="AI11" i="2"/>
  <c r="AI10" i="2"/>
  <c r="AI6" i="2"/>
  <c r="AI4" i="2"/>
  <c r="AI30" i="2"/>
  <c r="AI29" i="2"/>
  <c r="AI28" i="2"/>
  <c r="AI33" i="2"/>
  <c r="AI32" i="2"/>
  <c r="AI31" i="2"/>
  <c r="AI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tc={00B4008F-0075-40F3-9051-00FE007900C4}</author>
    <author>tc={00050018-0076-4855-A617-00A8008100B0}</author>
    <author>tc={00E700B5-002B-4E6A-A42B-00F0003900B0}</author>
    <author>tc={00F500E4-005C-4D19-9754-009800AF008E}</author>
    <author>tc={7BA10653-1FDE-00C3-3BFE-E28CAE1077DC}</author>
    <author>tc={3DF771E8-D8B0-52D5-1E29-C05B9F4334C2}</author>
    <author>tc={8D836D25-854C-F097-AE34-62F86FEB80B6}</author>
  </authors>
  <commentList>
    <comment ref="B4" authorId="0" shapeId="0" xr:uid="{00B4008F-0075-40F3-9051-00FE007900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revisada de 50% para 85%
</t>
      </text>
    </comment>
    <comment ref="B6" authorId="1" shapeId="0" xr:uid="{00050018-0076-4855-A617-00A8008100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revisada para o segundo semestre de 90% para 95%
</t>
      </text>
    </comment>
    <comment ref="B13" authorId="2" shapeId="0" xr:uid="{00E700B5-002B-4E6A-A42B-00F0003900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Wanderson vai sinalizar uma nova meta a partir de uma análise junto a equipe
</t>
      </text>
    </comment>
    <comment ref="B20" authorId="3" shapeId="0" xr:uid="{00F500E4-005C-4D19-9754-009800AF008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revisão da meta para o segundo semestre de 25% para 45%
</t>
      </text>
    </comment>
    <comment ref="B25" authorId="4" shapeId="0" xr:uid="{7BA10653-1FDE-00C3-3BFE-E28CAE1077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revisada de 50% para 85%
</t>
      </text>
    </comment>
    <comment ref="AA31" authorId="5" shapeId="0" xr:uid="{3DF771E8-D8B0-52D5-1E29-C05B9F4334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indisponível
</t>
      </text>
    </comment>
    <comment ref="AB31" authorId="6" shapeId="0" xr:uid="{8D836D25-854C-F097-AE34-62F86FEB80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indisponível
</t>
      </text>
    </comment>
  </commentList>
</comments>
</file>

<file path=xl/sharedStrings.xml><?xml version="1.0" encoding="utf-8"?>
<sst xmlns="http://schemas.openxmlformats.org/spreadsheetml/2006/main" count="51" uniqueCount="40">
  <si>
    <t>META</t>
  </si>
  <si>
    <t>INDICADOR</t>
  </si>
  <si>
    <t>TENDÊNCIA</t>
  </si>
  <si>
    <t>Media</t>
  </si>
  <si>
    <t>OPERAÇÃO</t>
  </si>
  <si>
    <t>Número mensal de associados da base que utilizam serviços (fora SPC) da CDL (IUS)</t>
  </si>
  <si>
    <t>Numero de Renovação Produto/Serviço CDL CELULAR</t>
  </si>
  <si>
    <t>Comercial</t>
  </si>
  <si>
    <t>Número de renovação Produto/Serviço CERTIFICADO DIGITAL</t>
  </si>
  <si>
    <t>Satisfação do aluno/Serviço - ESCOLA DE NEGÓCIOS</t>
  </si>
  <si>
    <t>Percentual de crescimento de LOCAÇÃO - Faturamento (mensal)</t>
  </si>
  <si>
    <r>
      <rPr>
        <sz val="12"/>
        <rFont val="Calibri"/>
        <family val="2"/>
      </rPr>
      <t xml:space="preserve">Cadastro - numero de tarefas recebidas /Atendidas dentro do mês </t>
    </r>
    <r>
      <rPr>
        <sz val="12"/>
        <color rgb="FF00B0F0"/>
        <rFont val="Calibri"/>
        <family val="2"/>
      </rPr>
      <t>(DESCONTINUAR)</t>
    </r>
  </si>
  <si>
    <t>definir</t>
  </si>
  <si>
    <t>*******</t>
  </si>
  <si>
    <r>
      <rPr>
        <sz val="12"/>
        <rFont val="Calibri"/>
        <family val="2"/>
      </rPr>
      <t xml:space="preserve">Saude de turmas de treinamento </t>
    </r>
    <r>
      <rPr>
        <sz val="12"/>
        <color rgb="FF00B0F0"/>
        <rFont val="Calibri"/>
        <family val="2"/>
      </rPr>
      <t>(NÚMERO DE ALUNOS POR TURMA - 15)</t>
    </r>
  </si>
  <si>
    <t>COMERCIAL</t>
  </si>
  <si>
    <t>Número de Contatos Mês</t>
  </si>
  <si>
    <t xml:space="preserve">Indice de reversão de cancelamento </t>
  </si>
  <si>
    <t>33.33%</t>
  </si>
  <si>
    <t xml:space="preserve">Crescimento vendas/Certificado Digital </t>
  </si>
  <si>
    <t>Número de adesão para novos clientes</t>
  </si>
  <si>
    <t>Crescimento vendas/CDL Celular</t>
  </si>
  <si>
    <t>Crescimento de vendas Produto/Serviço ESCOLA</t>
  </si>
  <si>
    <t>Crescimento de vendas de locação mês META: 20%</t>
  </si>
  <si>
    <t>Taxa Conversão de Leads em Proposta (Aguardando análise de proposta)</t>
  </si>
  <si>
    <t>Taxa de conversão Proposta para fechamento (Novas oportunidades- Fechamento)</t>
  </si>
  <si>
    <t xml:space="preserve">Crescimento de Faturamento </t>
  </si>
  <si>
    <r>
      <t xml:space="preserve">Quantidade de Leads/Fechamento </t>
    </r>
    <r>
      <rPr>
        <sz val="8"/>
        <rFont val="Calibri"/>
        <family val="2"/>
        <scheme val="minor"/>
      </rPr>
      <t>(todos leads gerados/todos os serviços vendidos)</t>
    </r>
  </si>
  <si>
    <t>Crescimento venda/adesão Plano de beneficios</t>
  </si>
  <si>
    <t>Faturamento com origem no Relacionamento</t>
  </si>
  <si>
    <t>FINANCEIRO</t>
  </si>
  <si>
    <t>Pontualidade</t>
  </si>
  <si>
    <t>Adimplência (mensal)</t>
  </si>
  <si>
    <t>Ticket Médio</t>
  </si>
  <si>
    <t>Margem Liquida</t>
  </si>
  <si>
    <t>EBTIDA</t>
  </si>
  <si>
    <t>Margem de contribuição</t>
  </si>
  <si>
    <t>sem cursos</t>
  </si>
  <si>
    <t>Indicadores do Zera Dividas</t>
  </si>
  <si>
    <r>
      <t xml:space="preserve">Percentual de Recuperação de Cheques devolvidos / recuperados </t>
    </r>
    <r>
      <rPr>
        <sz val="12"/>
        <color rgb="FFFF0000"/>
        <rFont val="Calibri"/>
        <family val="2"/>
        <scheme val="minor"/>
      </rPr>
      <t>(Excluir em 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</si>
</sst>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8" x14ac:knownFonts="1"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2"/>
      <name val="Calibri"/>
      <family val="2"/>
      <scheme val="minor"/>
    </font>
    <font>
      <sz val="14"/>
      <color indexed="5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rgb="FF00B050"/>
      <name val="Calibri"/>
      <family val="2"/>
      <scheme val="minor"/>
    </font>
    <font>
      <u/>
      <sz val="14"/>
      <color indexed="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4"/>
      <color indexed="2"/>
      <name val="Calibri"/>
      <family val="2"/>
    </font>
    <font>
      <sz val="14"/>
      <color rgb="FF00B050"/>
      <name val="Calibri"/>
      <family val="2"/>
    </font>
    <font>
      <sz val="14"/>
      <name val="Calibri"/>
      <family val="2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B0F0"/>
      <name val="Calibri"/>
      <family val="2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B050"/>
      <name val="Calibri"/>
      <family val="2"/>
    </font>
    <font>
      <sz val="14"/>
      <color indexed="2"/>
      <name val="Calibri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44" fontId="21" fillId="0" borderId="0" applyFont="0" applyFill="0" applyBorder="0" applyProtection="0"/>
    <xf numFmtId="44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" fontId="1" fillId="2" borderId="7" xfId="0" applyNumberFormat="1" applyFont="1" applyFill="1" applyBorder="1" applyAlignment="1">
      <alignment horizontal="center" vertical="center"/>
    </xf>
    <xf numFmtId="17" fontId="1" fillId="2" borderId="8" xfId="0" applyNumberFormat="1" applyFont="1" applyFill="1" applyBorder="1" applyAlignment="1">
      <alignment horizontal="center" vertical="center"/>
    </xf>
    <xf numFmtId="17" fontId="1" fillId="2" borderId="9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10" xfId="0" applyNumberFormat="1" applyFont="1" applyFill="1" applyBorder="1" applyAlignment="1">
      <alignment horizontal="center" vertical="center"/>
    </xf>
    <xf numFmtId="17" fontId="1" fillId="2" borderId="11" xfId="0" applyNumberFormat="1" applyFont="1" applyFill="1" applyBorder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9" fontId="7" fillId="3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vertical="center"/>
    </xf>
    <xf numFmtId="10" fontId="4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0" fontId="4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9" fontId="4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10" fontId="8" fillId="6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 wrapText="1"/>
    </xf>
    <xf numFmtId="10" fontId="8" fillId="8" borderId="3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 wrapText="1"/>
    </xf>
    <xf numFmtId="10" fontId="4" fillId="0" borderId="13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3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4" fillId="0" borderId="0" xfId="3" applyNumberFormat="1" applyFont="1" applyAlignment="1">
      <alignment horizontal="center" vertical="center"/>
    </xf>
    <xf numFmtId="0" fontId="10" fillId="5" borderId="0" xfId="0" applyFont="1" applyFill="1" applyAlignment="1">
      <alignment vertical="center"/>
    </xf>
    <xf numFmtId="44" fontId="15" fillId="0" borderId="2" xfId="1" applyFont="1" applyBorder="1" applyAlignment="1">
      <alignment horizontal="left"/>
    </xf>
    <xf numFmtId="44" fontId="15" fillId="0" borderId="2" xfId="1" applyFont="1" applyBorder="1" applyAlignment="1">
      <alignment horizontal="center"/>
    </xf>
    <xf numFmtId="8" fontId="15" fillId="0" borderId="2" xfId="1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 wrapText="1"/>
    </xf>
    <xf numFmtId="10" fontId="8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10" fontId="16" fillId="0" borderId="1" xfId="0" applyNumberFormat="1" applyFont="1" applyBorder="1" applyAlignment="1">
      <alignment horizontal="right" wrapText="1"/>
    </xf>
    <xf numFmtId="10" fontId="17" fillId="0" borderId="1" xfId="0" applyNumberFormat="1" applyFont="1" applyBorder="1" applyAlignment="1">
      <alignment horizontal="right" wrapText="1"/>
    </xf>
    <xf numFmtId="8" fontId="18" fillId="0" borderId="1" xfId="0" applyNumberFormat="1" applyFont="1" applyBorder="1" applyAlignment="1">
      <alignment horizontal="left" vertical="center" wrapText="1"/>
    </xf>
    <xf numFmtId="8" fontId="19" fillId="0" borderId="1" xfId="0" applyNumberFormat="1" applyFont="1" applyBorder="1" applyAlignment="1">
      <alignment vertical="center" wrapText="1"/>
    </xf>
    <xf numFmtId="8" fontId="4" fillId="0" borderId="1" xfId="0" applyNumberFormat="1" applyFont="1" applyBorder="1" applyAlignment="1">
      <alignment vertical="center" wrapText="1"/>
    </xf>
    <xf numFmtId="8" fontId="8" fillId="0" borderId="1" xfId="0" applyNumberFormat="1" applyFont="1" applyBorder="1" applyAlignment="1">
      <alignment horizontal="right" vertical="center" wrapText="1"/>
    </xf>
    <xf numFmtId="8" fontId="4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right" wrapText="1"/>
    </xf>
    <xf numFmtId="165" fontId="16" fillId="0" borderId="1" xfId="0" applyNumberFormat="1" applyFont="1" applyBorder="1" applyAlignment="1">
      <alignment horizontal="right" wrapText="1"/>
    </xf>
    <xf numFmtId="4" fontId="8" fillId="0" borderId="1" xfId="0" applyNumberFormat="1" applyFont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9" fontId="4" fillId="9" borderId="1" xfId="0" applyNumberFormat="1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10" fontId="17" fillId="0" borderId="1" xfId="0" applyNumberFormat="1" applyFont="1" applyBorder="1" applyAlignment="1">
      <alignment wrapText="1"/>
    </xf>
    <xf numFmtId="10" fontId="16" fillId="0" borderId="1" xfId="0" applyNumberFormat="1" applyFont="1" applyBorder="1" applyAlignment="1">
      <alignment wrapText="1"/>
    </xf>
    <xf numFmtId="10" fontId="8" fillId="6" borderId="1" xfId="0" applyNumberFormat="1" applyFont="1" applyFill="1" applyBorder="1" applyAlignment="1">
      <alignment vertical="center" wrapText="1"/>
    </xf>
    <xf numFmtId="10" fontId="8" fillId="4" borderId="1" xfId="0" applyNumberFormat="1" applyFont="1" applyFill="1" applyBorder="1" applyAlignment="1">
      <alignment vertical="center" wrapText="1"/>
    </xf>
    <xf numFmtId="10" fontId="8" fillId="6" borderId="1" xfId="0" applyNumberFormat="1" applyFont="1" applyFill="1" applyBorder="1" applyAlignment="1">
      <alignment horizontal="right" vertical="center" wrapText="1"/>
    </xf>
    <xf numFmtId="10" fontId="8" fillId="4" borderId="1" xfId="0" applyNumberFormat="1" applyFont="1" applyFill="1" applyBorder="1" applyAlignment="1">
      <alignment horizontal="right" vertical="center" wrapText="1"/>
    </xf>
    <xf numFmtId="10" fontId="23" fillId="0" borderId="1" xfId="0" applyNumberFormat="1" applyFont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44" fontId="24" fillId="0" borderId="1" xfId="1" applyFont="1" applyBorder="1" applyAlignment="1">
      <alignment horizontal="center" vertical="center"/>
    </xf>
    <xf numFmtId="10" fontId="25" fillId="0" borderId="1" xfId="0" applyNumberFormat="1" applyFont="1" applyBorder="1" applyAlignment="1">
      <alignment horizontal="right" wrapText="1"/>
    </xf>
    <xf numFmtId="10" fontId="26" fillId="0" borderId="1" xfId="0" applyNumberFormat="1" applyFont="1" applyBorder="1" applyAlignment="1">
      <alignment horizontal="right" wrapText="1"/>
    </xf>
    <xf numFmtId="165" fontId="26" fillId="0" borderId="1" xfId="0" applyNumberFormat="1" applyFont="1" applyBorder="1" applyAlignment="1">
      <alignment horizontal="right" wrapText="1"/>
    </xf>
    <xf numFmtId="10" fontId="23" fillId="0" borderId="11" xfId="0" applyNumberFormat="1" applyFont="1" applyBorder="1" applyAlignment="1">
      <alignment horizontal="center" vertical="center"/>
    </xf>
    <xf numFmtId="10" fontId="19" fillId="0" borderId="1" xfId="0" applyNumberFormat="1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10" fontId="23" fillId="0" borderId="1" xfId="0" applyNumberFormat="1" applyFont="1" applyBorder="1" applyAlignment="1">
      <alignment horizontal="center" vertical="center" wrapText="1"/>
    </xf>
  </cellXfs>
  <cellStyles count="5">
    <cellStyle name="Moeda" xfId="1" builtinId="4"/>
    <cellStyle name="Moeda 2" xfId="2" xr:uid="{00000000-0005-0000-0000-000001000000}"/>
    <cellStyle name="Normal" xfId="0" builtinId="0"/>
    <cellStyle name="Vírgula" xfId="3" builtinId="3"/>
    <cellStyle name="Vírgula 2" xfId="4" xr:uid="{00000000-0005-0000-0000-000005000000}"/>
  </cellStyles>
  <dxfs count="13">
    <dxf>
      <font>
        <color indexed="2"/>
      </font>
    </dxf>
    <dxf>
      <font>
        <color rgb="FF00B050"/>
      </font>
    </dxf>
    <dxf>
      <font>
        <color indexed="2"/>
      </font>
    </dxf>
    <dxf>
      <font>
        <color rgb="FF00B050"/>
      </font>
    </dxf>
    <dxf>
      <font>
        <color indexed="2"/>
      </font>
    </dxf>
    <dxf>
      <font>
        <color indexed="2"/>
      </font>
    </dxf>
    <dxf>
      <font>
        <color rgb="FF00B050"/>
      </font>
    </dxf>
    <dxf>
      <font>
        <color indexed="2"/>
      </font>
    </dxf>
    <dxf>
      <font>
        <color indexed="2"/>
      </font>
    </dxf>
    <dxf>
      <font>
        <color rgb="FF00B050"/>
      </font>
    </dxf>
    <dxf>
      <font>
        <color indexed="2"/>
      </font>
    </dxf>
    <dxf>
      <font>
        <color rgb="FF00B050"/>
      </font>
    </dxf>
    <dxf>
      <font>
        <color indexed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316910</xdr:colOff>
      <xdr:row>29</xdr:row>
      <xdr:rowOff>48916</xdr:rowOff>
    </xdr:from>
    <xdr:to>
      <xdr:col>2</xdr:col>
      <xdr:colOff>431210</xdr:colOff>
      <xdr:row>29</xdr:row>
      <xdr:rowOff>182268</xdr:rowOff>
    </xdr:to>
    <xdr:sp macro="" textlink="">
      <xdr:nvSpPr>
        <xdr:cNvPr id="18" name="Seta: para Cima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5879510" y="7173616"/>
          <a:ext cx="114300" cy="133350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343249</xdr:colOff>
      <xdr:row>32</xdr:row>
      <xdr:rowOff>92779</xdr:rowOff>
    </xdr:from>
    <xdr:to>
      <xdr:col>2</xdr:col>
      <xdr:colOff>482950</xdr:colOff>
      <xdr:row>32</xdr:row>
      <xdr:rowOff>200729</xdr:rowOff>
    </xdr:to>
    <xdr:sp macro="" textlink="">
      <xdr:nvSpPr>
        <xdr:cNvPr id="9" name="Seta: para Cima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 rot="5400000">
          <a:off x="5921725" y="8154104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351836</xdr:colOff>
      <xdr:row>18</xdr:row>
      <xdr:rowOff>31277</xdr:rowOff>
    </xdr:from>
    <xdr:to>
      <xdr:col>2</xdr:col>
      <xdr:colOff>466137</xdr:colOff>
      <xdr:row>18</xdr:row>
      <xdr:rowOff>164629</xdr:rowOff>
    </xdr:to>
    <xdr:sp macro="" textlink="">
      <xdr:nvSpPr>
        <xdr:cNvPr id="6" name="Seta: para Cim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5571536" y="4367058"/>
          <a:ext cx="114300" cy="133350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295742</xdr:colOff>
      <xdr:row>27</xdr:row>
      <xdr:rowOff>62912</xdr:rowOff>
    </xdr:from>
    <xdr:to>
      <xdr:col>2</xdr:col>
      <xdr:colOff>435443</xdr:colOff>
      <xdr:row>27</xdr:row>
      <xdr:rowOff>170862</xdr:rowOff>
    </xdr:to>
    <xdr:sp macro="" textlink="">
      <xdr:nvSpPr>
        <xdr:cNvPr id="17" name="Seta: para Cima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 rot="5400000">
          <a:off x="5874218" y="6699297"/>
          <a:ext cx="107949" cy="139699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348601</xdr:colOff>
      <xdr:row>2</xdr:row>
      <xdr:rowOff>69968</xdr:rowOff>
    </xdr:from>
    <xdr:to>
      <xdr:col>2</xdr:col>
      <xdr:colOff>488301</xdr:colOff>
      <xdr:row>2</xdr:row>
      <xdr:rowOff>165217</xdr:rowOff>
    </xdr:to>
    <xdr:sp macro="" textlink="">
      <xdr:nvSpPr>
        <xdr:cNvPr id="7" name="Seta: para Cim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 rot="5400000">
          <a:off x="6784326" y="442854"/>
          <a:ext cx="952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371121</xdr:colOff>
      <xdr:row>16</xdr:row>
      <xdr:rowOff>39509</xdr:rowOff>
    </xdr:from>
    <xdr:to>
      <xdr:col>2</xdr:col>
      <xdr:colOff>485420</xdr:colOff>
      <xdr:row>16</xdr:row>
      <xdr:rowOff>172859</xdr:rowOff>
    </xdr:to>
    <xdr:sp macro="" textlink="">
      <xdr:nvSpPr>
        <xdr:cNvPr id="51" name="Seta: para Cima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5590821" y="3902849"/>
          <a:ext cx="114300" cy="133350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311501</xdr:colOff>
      <xdr:row>28</xdr:row>
      <xdr:rowOff>29395</xdr:rowOff>
    </xdr:from>
    <xdr:to>
      <xdr:col>2</xdr:col>
      <xdr:colOff>425798</xdr:colOff>
      <xdr:row>28</xdr:row>
      <xdr:rowOff>162747</xdr:rowOff>
    </xdr:to>
    <xdr:sp macro="" textlink="">
      <xdr:nvSpPr>
        <xdr:cNvPr id="63" name="Seta: para Cima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874101" y="6917876"/>
          <a:ext cx="114297" cy="133349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332902</xdr:colOff>
      <xdr:row>30</xdr:row>
      <xdr:rowOff>52325</xdr:rowOff>
    </xdr:from>
    <xdr:to>
      <xdr:col>2</xdr:col>
      <xdr:colOff>472603</xdr:colOff>
      <xdr:row>30</xdr:row>
      <xdr:rowOff>160276</xdr:rowOff>
    </xdr:to>
    <xdr:sp macro="" textlink="">
      <xdr:nvSpPr>
        <xdr:cNvPr id="70" name="Seta: para Cima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 rot="5400000">
          <a:off x="5911377" y="7633590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332902</xdr:colOff>
      <xdr:row>31</xdr:row>
      <xdr:rowOff>77726</xdr:rowOff>
    </xdr:from>
    <xdr:to>
      <xdr:col>2</xdr:col>
      <xdr:colOff>472603</xdr:colOff>
      <xdr:row>31</xdr:row>
      <xdr:rowOff>185674</xdr:rowOff>
    </xdr:to>
    <xdr:sp macro="" textlink="">
      <xdr:nvSpPr>
        <xdr:cNvPr id="71" name="Seta: para Cima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 rot="5400000">
          <a:off x="5911379" y="7887590"/>
          <a:ext cx="107947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349307</xdr:colOff>
      <xdr:row>9</xdr:row>
      <xdr:rowOff>58383</xdr:rowOff>
    </xdr:from>
    <xdr:to>
      <xdr:col>2</xdr:col>
      <xdr:colOff>457257</xdr:colOff>
      <xdr:row>9</xdr:row>
      <xdr:rowOff>198084</xdr:rowOff>
    </xdr:to>
    <xdr:sp macro="" textlink="">
      <xdr:nvSpPr>
        <xdr:cNvPr id="5" name="Seta: para Cim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 rot="10800000">
          <a:off x="5569008" y="2298664"/>
          <a:ext cx="107948" cy="139699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350897</xdr:colOff>
      <xdr:row>7</xdr:row>
      <xdr:rowOff>67910</xdr:rowOff>
    </xdr:from>
    <xdr:to>
      <xdr:col>2</xdr:col>
      <xdr:colOff>458847</xdr:colOff>
      <xdr:row>7</xdr:row>
      <xdr:rowOff>207610</xdr:rowOff>
    </xdr:to>
    <xdr:sp macro="" textlink="">
      <xdr:nvSpPr>
        <xdr:cNvPr id="11" name="Seta: para Cim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 rot="10800000">
          <a:off x="5256272" y="1814160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348601</xdr:colOff>
      <xdr:row>3</xdr:row>
      <xdr:rowOff>46860</xdr:rowOff>
    </xdr:from>
    <xdr:to>
      <xdr:col>2</xdr:col>
      <xdr:colOff>488303</xdr:colOff>
      <xdr:row>3</xdr:row>
      <xdr:rowOff>154810</xdr:rowOff>
    </xdr:to>
    <xdr:sp macro="" textlink="">
      <xdr:nvSpPr>
        <xdr:cNvPr id="23" name="Seta: para Cima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 rot="5400000">
          <a:off x="5269853" y="824735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348013</xdr:colOff>
      <xdr:row>19</xdr:row>
      <xdr:rowOff>39804</xdr:rowOff>
    </xdr:from>
    <xdr:to>
      <xdr:col>2</xdr:col>
      <xdr:colOff>462314</xdr:colOff>
      <xdr:row>19</xdr:row>
      <xdr:rowOff>173154</xdr:rowOff>
    </xdr:to>
    <xdr:sp macro="" textlink="">
      <xdr:nvSpPr>
        <xdr:cNvPr id="33" name="Seta: para Cima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567713" y="4611804"/>
          <a:ext cx="114300" cy="133349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355951</xdr:colOff>
      <xdr:row>20</xdr:row>
      <xdr:rowOff>51142</xdr:rowOff>
    </xdr:from>
    <xdr:to>
      <xdr:col>2</xdr:col>
      <xdr:colOff>470250</xdr:colOff>
      <xdr:row>20</xdr:row>
      <xdr:rowOff>184493</xdr:rowOff>
    </xdr:to>
    <xdr:sp macro="" textlink="">
      <xdr:nvSpPr>
        <xdr:cNvPr id="36" name="Seta: para Cima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5575652" y="5034622"/>
          <a:ext cx="114298" cy="133350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340077</xdr:colOff>
      <xdr:row>23</xdr:row>
      <xdr:rowOff>74956</xdr:rowOff>
    </xdr:from>
    <xdr:to>
      <xdr:col>2</xdr:col>
      <xdr:colOff>454375</xdr:colOff>
      <xdr:row>23</xdr:row>
      <xdr:rowOff>208305</xdr:rowOff>
    </xdr:to>
    <xdr:sp macro="" textlink="">
      <xdr:nvSpPr>
        <xdr:cNvPr id="8" name="Seta: para Cim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5559777" y="5980456"/>
          <a:ext cx="114298" cy="133347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365772</xdr:colOff>
      <xdr:row>17</xdr:row>
      <xdr:rowOff>71816</xdr:rowOff>
    </xdr:from>
    <xdr:to>
      <xdr:col>2</xdr:col>
      <xdr:colOff>505472</xdr:colOff>
      <xdr:row>17</xdr:row>
      <xdr:rowOff>179765</xdr:rowOff>
    </xdr:to>
    <xdr:sp macro="" textlink="">
      <xdr:nvSpPr>
        <xdr:cNvPr id="27" name="Seta: para Cima 26">
          <a:extLst>
            <a:ext uri="{FF2B5EF4-FFF2-40B4-BE49-F238E27FC236}">
              <a16:creationId xmlns:a16="http://schemas.microsoft.com/office/drawing/2014/main" id="{F862FC25-706E-4FB5-9896-7D7859D28D67}"/>
            </a:ext>
          </a:extLst>
        </xdr:cNvPr>
        <xdr:cNvSpPr/>
      </xdr:nvSpPr>
      <xdr:spPr bwMode="auto">
        <a:xfrm rot="5400000">
          <a:off x="6210947" y="3859591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359422</xdr:colOff>
      <xdr:row>14</xdr:row>
      <xdr:rowOff>59117</xdr:rowOff>
    </xdr:from>
    <xdr:to>
      <xdr:col>2</xdr:col>
      <xdr:colOff>499122</xdr:colOff>
      <xdr:row>14</xdr:row>
      <xdr:rowOff>167066</xdr:rowOff>
    </xdr:to>
    <xdr:sp macro="" textlink="">
      <xdr:nvSpPr>
        <xdr:cNvPr id="34" name="Seta: para Cima 33">
          <a:extLst>
            <a:ext uri="{FF2B5EF4-FFF2-40B4-BE49-F238E27FC236}">
              <a16:creationId xmlns:a16="http://schemas.microsoft.com/office/drawing/2014/main" id="{095C042A-B1C0-4744-8409-A68CFFD11C7D}"/>
            </a:ext>
          </a:extLst>
        </xdr:cNvPr>
        <xdr:cNvSpPr/>
      </xdr:nvSpPr>
      <xdr:spPr bwMode="auto">
        <a:xfrm rot="5400000">
          <a:off x="6204597" y="3142042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346427</xdr:colOff>
      <xdr:row>22</xdr:row>
      <xdr:rowOff>74956</xdr:rowOff>
    </xdr:from>
    <xdr:to>
      <xdr:col>2</xdr:col>
      <xdr:colOff>460725</xdr:colOff>
      <xdr:row>22</xdr:row>
      <xdr:rowOff>208305</xdr:rowOff>
    </xdr:to>
    <xdr:sp macro="" textlink="">
      <xdr:nvSpPr>
        <xdr:cNvPr id="38" name="Seta: para Cima 37">
          <a:extLst>
            <a:ext uri="{FF2B5EF4-FFF2-40B4-BE49-F238E27FC236}">
              <a16:creationId xmlns:a16="http://schemas.microsoft.com/office/drawing/2014/main" id="{215B103D-BEAB-4F93-A1D7-F6A1C0CE8E27}"/>
            </a:ext>
          </a:extLst>
        </xdr:cNvPr>
        <xdr:cNvSpPr/>
      </xdr:nvSpPr>
      <xdr:spPr bwMode="auto">
        <a:xfrm>
          <a:off x="6175727" y="5212106"/>
          <a:ext cx="114298" cy="133349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349133</xdr:colOff>
      <xdr:row>8</xdr:row>
      <xdr:rowOff>63619</xdr:rowOff>
    </xdr:from>
    <xdr:to>
      <xdr:col>2</xdr:col>
      <xdr:colOff>488833</xdr:colOff>
      <xdr:row>8</xdr:row>
      <xdr:rowOff>171569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0F8BB213-769E-43E5-BD09-7E2F2048280E}"/>
            </a:ext>
          </a:extLst>
        </xdr:cNvPr>
        <xdr:cNvSpPr/>
      </xdr:nvSpPr>
      <xdr:spPr bwMode="auto">
        <a:xfrm rot="5400000">
          <a:off x="6778508" y="1607022"/>
          <a:ext cx="107950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377471</xdr:colOff>
      <xdr:row>12</xdr:row>
      <xdr:rowOff>42049</xdr:rowOff>
    </xdr:from>
    <xdr:to>
      <xdr:col>2</xdr:col>
      <xdr:colOff>491770</xdr:colOff>
      <xdr:row>12</xdr:row>
      <xdr:rowOff>175399</xdr:rowOff>
    </xdr:to>
    <xdr:sp macro="" textlink="">
      <xdr:nvSpPr>
        <xdr:cNvPr id="20" name="Seta: para Cima 19">
          <a:extLst>
            <a:ext uri="{FF2B5EF4-FFF2-40B4-BE49-F238E27FC236}">
              <a16:creationId xmlns:a16="http://schemas.microsoft.com/office/drawing/2014/main" id="{4A491C0D-FE85-45E3-BE22-4D54D2F1124F}"/>
            </a:ext>
          </a:extLst>
        </xdr:cNvPr>
        <xdr:cNvSpPr/>
      </xdr:nvSpPr>
      <xdr:spPr bwMode="auto">
        <a:xfrm>
          <a:off x="6206771" y="2670949"/>
          <a:ext cx="114299" cy="133350"/>
        </a:xfrm>
        <a:prstGeom prst="upArrow">
          <a:avLst>
            <a:gd name="adj1" fmla="val 50000"/>
            <a:gd name="adj2" fmla="val 50000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359422</xdr:colOff>
      <xdr:row>13</xdr:row>
      <xdr:rowOff>59118</xdr:rowOff>
    </xdr:from>
    <xdr:to>
      <xdr:col>2</xdr:col>
      <xdr:colOff>499122</xdr:colOff>
      <xdr:row>13</xdr:row>
      <xdr:rowOff>167067</xdr:rowOff>
    </xdr:to>
    <xdr:sp macro="" textlink="">
      <xdr:nvSpPr>
        <xdr:cNvPr id="22" name="Seta: para Cima 21">
          <a:extLst>
            <a:ext uri="{FF2B5EF4-FFF2-40B4-BE49-F238E27FC236}">
              <a16:creationId xmlns:a16="http://schemas.microsoft.com/office/drawing/2014/main" id="{95E8D534-7196-48F4-9E93-7823DDC94D93}"/>
            </a:ext>
          </a:extLst>
        </xdr:cNvPr>
        <xdr:cNvSpPr/>
      </xdr:nvSpPr>
      <xdr:spPr bwMode="auto">
        <a:xfrm rot="5400000">
          <a:off x="6204597" y="2907093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368300</xdr:colOff>
      <xdr:row>15</xdr:row>
      <xdr:rowOff>50800</xdr:rowOff>
    </xdr:from>
    <xdr:to>
      <xdr:col>2</xdr:col>
      <xdr:colOff>476250</xdr:colOff>
      <xdr:row>15</xdr:row>
      <xdr:rowOff>190499</xdr:rowOff>
    </xdr:to>
    <xdr:sp macro="" textlink="">
      <xdr:nvSpPr>
        <xdr:cNvPr id="37" name="Seta: para Cima 36">
          <a:extLst>
            <a:ext uri="{FF2B5EF4-FFF2-40B4-BE49-F238E27FC236}">
              <a16:creationId xmlns:a16="http://schemas.microsoft.com/office/drawing/2014/main" id="{D95EC6C3-7F09-4756-9BAE-DAAB988C95F2}"/>
            </a:ext>
          </a:extLst>
        </xdr:cNvPr>
        <xdr:cNvSpPr/>
      </xdr:nvSpPr>
      <xdr:spPr bwMode="auto">
        <a:xfrm rot="10800000">
          <a:off x="6197600" y="3384550"/>
          <a:ext cx="107950" cy="139699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362008</xdr:colOff>
      <xdr:row>4</xdr:row>
      <xdr:rowOff>47941</xdr:rowOff>
    </xdr:from>
    <xdr:to>
      <xdr:col>2</xdr:col>
      <xdr:colOff>469958</xdr:colOff>
      <xdr:row>4</xdr:row>
      <xdr:rowOff>187642</xdr:rowOff>
    </xdr:to>
    <xdr:sp macro="" textlink="">
      <xdr:nvSpPr>
        <xdr:cNvPr id="15" name="Seta: para Cima 14">
          <a:extLst>
            <a:ext uri="{FF2B5EF4-FFF2-40B4-BE49-F238E27FC236}">
              <a16:creationId xmlns:a16="http://schemas.microsoft.com/office/drawing/2014/main" id="{3C6A81D6-D19F-451E-99E9-973B9663B3A9}"/>
            </a:ext>
          </a:extLst>
        </xdr:cNvPr>
        <xdr:cNvSpPr/>
      </xdr:nvSpPr>
      <xdr:spPr bwMode="auto">
        <a:xfrm rot="10800000">
          <a:off x="6775508" y="908719"/>
          <a:ext cx="107950" cy="139701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351250</xdr:colOff>
      <xdr:row>5</xdr:row>
      <xdr:rowOff>56445</xdr:rowOff>
    </xdr:from>
    <xdr:to>
      <xdr:col>2</xdr:col>
      <xdr:colOff>490950</xdr:colOff>
      <xdr:row>5</xdr:row>
      <xdr:rowOff>168041</xdr:rowOff>
    </xdr:to>
    <xdr:sp macro="" textlink="">
      <xdr:nvSpPr>
        <xdr:cNvPr id="16" name="Seta: para Cima 15">
          <a:extLst>
            <a:ext uri="{FF2B5EF4-FFF2-40B4-BE49-F238E27FC236}">
              <a16:creationId xmlns:a16="http://schemas.microsoft.com/office/drawing/2014/main" id="{F1C1D0FB-6B08-4FE3-BEBB-6590509DBFB9}"/>
            </a:ext>
          </a:extLst>
        </xdr:cNvPr>
        <xdr:cNvSpPr/>
      </xdr:nvSpPr>
      <xdr:spPr bwMode="auto">
        <a:xfrm rot="5400000">
          <a:off x="6778802" y="1136004"/>
          <a:ext cx="111596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383175</xdr:colOff>
      <xdr:row>6</xdr:row>
      <xdr:rowOff>47942</xdr:rowOff>
    </xdr:from>
    <xdr:to>
      <xdr:col>2</xdr:col>
      <xdr:colOff>491125</xdr:colOff>
      <xdr:row>6</xdr:row>
      <xdr:rowOff>187643</xdr:rowOff>
    </xdr:to>
    <xdr:sp macro="" textlink="">
      <xdr:nvSpPr>
        <xdr:cNvPr id="24" name="Seta: para Cima 23">
          <a:extLst>
            <a:ext uri="{FF2B5EF4-FFF2-40B4-BE49-F238E27FC236}">
              <a16:creationId xmlns:a16="http://schemas.microsoft.com/office/drawing/2014/main" id="{10208D31-0B55-4741-9D24-291F4D4891E7}"/>
            </a:ext>
          </a:extLst>
        </xdr:cNvPr>
        <xdr:cNvSpPr/>
      </xdr:nvSpPr>
      <xdr:spPr bwMode="auto">
        <a:xfrm rot="10800000">
          <a:off x="6796675" y="1374386"/>
          <a:ext cx="107950" cy="139701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346310</xdr:colOff>
      <xdr:row>10</xdr:row>
      <xdr:rowOff>67853</xdr:rowOff>
    </xdr:from>
    <xdr:to>
      <xdr:col>2</xdr:col>
      <xdr:colOff>486010</xdr:colOff>
      <xdr:row>10</xdr:row>
      <xdr:rowOff>175803</xdr:rowOff>
    </xdr:to>
    <xdr:sp macro="" textlink="">
      <xdr:nvSpPr>
        <xdr:cNvPr id="29" name="Seta: para Cima 28">
          <a:extLst>
            <a:ext uri="{FF2B5EF4-FFF2-40B4-BE49-F238E27FC236}">
              <a16:creationId xmlns:a16="http://schemas.microsoft.com/office/drawing/2014/main" id="{15C7B6BB-6396-49D1-8C64-4096DE3A9904}"/>
            </a:ext>
          </a:extLst>
        </xdr:cNvPr>
        <xdr:cNvSpPr/>
      </xdr:nvSpPr>
      <xdr:spPr bwMode="auto">
        <a:xfrm rot="5400000">
          <a:off x="6775685" y="2076922"/>
          <a:ext cx="107950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2</xdr:col>
      <xdr:colOff>338961</xdr:colOff>
      <xdr:row>21</xdr:row>
      <xdr:rowOff>65467</xdr:rowOff>
    </xdr:from>
    <xdr:to>
      <xdr:col>2</xdr:col>
      <xdr:colOff>478661</xdr:colOff>
      <xdr:row>21</xdr:row>
      <xdr:rowOff>173416</xdr:rowOff>
    </xdr:to>
    <xdr:sp macro="" textlink="">
      <xdr:nvSpPr>
        <xdr:cNvPr id="31" name="Seta: para Cima 30">
          <a:extLst>
            <a:ext uri="{FF2B5EF4-FFF2-40B4-BE49-F238E27FC236}">
              <a16:creationId xmlns:a16="http://schemas.microsoft.com/office/drawing/2014/main" id="{6D4C18AF-64F0-432D-9FBA-E9092BA4C396}"/>
            </a:ext>
          </a:extLst>
        </xdr:cNvPr>
        <xdr:cNvSpPr/>
      </xdr:nvSpPr>
      <xdr:spPr bwMode="auto">
        <a:xfrm rot="5400000">
          <a:off x="6768336" y="4762703"/>
          <a:ext cx="107949" cy="139700"/>
        </a:xfrm>
        <a:prstGeom prst="upArrow">
          <a:avLst>
            <a:gd name="adj1" fmla="val 50000"/>
            <a:gd name="adj2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lia Peixoto Goncalves" id="{FA67847B-3BFF-9F16-19E1-C28A46887BC6}" userId="" providerId=""/>
  <person displayName="Karla Rubia Santos" id="{6BB0D6DF-5D46-624A-B535-6D262DEB82FA}" userId="65" providerId="Teamlab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personId="{FA67847B-3BFF-9F16-19E1-C28A46887BC6}" id="{00B4008F-0075-40F3-9051-00FE007900C4}">
    <text xml:space="preserve">Meta revisada de 50% para 85%
</text>
  </threadedComment>
  <threadedComment ref="B6" personId="{FA67847B-3BFF-9F16-19E1-C28A46887BC6}" id="{00050018-0076-4855-A617-00A8008100B0}">
    <text xml:space="preserve">meta revisada para o segundo semestre de 90% para 95%
</text>
  </threadedComment>
  <threadedComment ref="B13" personId="{FA67847B-3BFF-9F16-19E1-C28A46887BC6}" id="{00E700B5-002B-4E6A-A42B-00F0003900B0}">
    <text xml:space="preserve">Wanderson vai sinalizar uma nova meta a partir de uma análise junto a equipe
</text>
  </threadedComment>
  <threadedComment ref="B20" personId="{FA67847B-3BFF-9F16-19E1-C28A46887BC6}" id="{00F500E4-005C-4D19-9754-009800AF008E}">
    <text xml:space="preserve">revisão da meta para o segundo semestre de 25% para 45%
</text>
  </threadedComment>
  <threadedComment ref="B25" personId="{FA67847B-3BFF-9F16-19E1-C28A46887BC6}" id="{7BA10653-1FDE-00C3-3BFE-E28CAE1077DC}">
    <text xml:space="preserve">Meta revisada de 50% para 85%
</text>
  </threadedComment>
  <threadedComment ref="AA31" dT="2025-05-09T21:05:19.39" personId="{6BB0D6DF-5D46-624A-B535-6D262DEB82FA}" id="{3DF771E8-D8B0-52D5-1E29-C05B9F4334C2}">
    <text xml:space="preserve">Informação indisponível
</text>
  </threadedComment>
  <threadedComment ref="AB31" dT="2025-06-09T17:40:50.12" personId="{6BB0D6DF-5D46-624A-B535-6D262DEB82FA}" id="{8D836D25-854C-F097-AE34-62F86FEB80B6}">
    <text xml:space="preserve">informação indisponível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3"/>
  <sheetViews>
    <sheetView showGridLines="0" tabSelected="1" zoomScale="90" zoomScaleNormal="90" workbookViewId="0">
      <pane xSplit="3" ySplit="2" topLeftCell="D3" activePane="bottomRight" state="frozen"/>
      <selection activeCell="AB10" sqref="AB10"/>
      <selection pane="topRight"/>
      <selection pane="bottomLeft"/>
      <selection pane="bottomRight" activeCell="H36" sqref="H36"/>
    </sheetView>
  </sheetViews>
  <sheetFormatPr defaultColWidth="8.81640625" defaultRowHeight="14.5" x14ac:dyDescent="0.35"/>
  <cols>
    <col min="1" max="1" width="78.54296875" style="2" customWidth="1"/>
    <col min="2" max="2" width="13.1796875" style="2" customWidth="1"/>
    <col min="3" max="3" width="14.36328125" style="2" customWidth="1"/>
    <col min="4" max="10" width="11.6328125" style="2" customWidth="1"/>
    <col min="11" max="11" width="12.54296875" style="2" customWidth="1"/>
    <col min="12" max="23" width="11.6328125" style="2" customWidth="1"/>
    <col min="24" max="24" width="16.26953125" style="2" customWidth="1"/>
    <col min="25" max="25" width="16.453125" style="2" customWidth="1"/>
    <col min="26" max="26" width="15.453125" style="2" customWidth="1"/>
    <col min="27" max="34" width="16.81640625" style="2" customWidth="1"/>
    <col min="35" max="35" width="17.6328125" style="1" customWidth="1"/>
    <col min="36" max="16384" width="8.81640625" style="2"/>
  </cols>
  <sheetData>
    <row r="1" spans="1:35" ht="15.5" x14ac:dyDescent="0.35">
      <c r="A1" s="3" t="s">
        <v>1</v>
      </c>
      <c r="B1" s="4" t="s">
        <v>0</v>
      </c>
      <c r="C1" s="4" t="s">
        <v>2</v>
      </c>
      <c r="D1" s="5">
        <v>45047</v>
      </c>
      <c r="E1" s="6">
        <v>45078</v>
      </c>
      <c r="F1" s="6">
        <v>45108</v>
      </c>
      <c r="G1" s="6">
        <v>45139</v>
      </c>
      <c r="H1" s="6">
        <v>45170</v>
      </c>
      <c r="I1" s="6">
        <v>45200</v>
      </c>
      <c r="J1" s="6">
        <v>45231</v>
      </c>
      <c r="K1" s="7">
        <v>45261</v>
      </c>
      <c r="L1" s="6">
        <v>45292</v>
      </c>
      <c r="M1" s="8">
        <v>45323</v>
      </c>
      <c r="N1" s="6">
        <v>45352</v>
      </c>
      <c r="O1" s="6">
        <v>45383</v>
      </c>
      <c r="P1" s="6">
        <v>45413</v>
      </c>
      <c r="Q1" s="6">
        <v>45444</v>
      </c>
      <c r="R1" s="6">
        <v>45474</v>
      </c>
      <c r="S1" s="6">
        <v>45505</v>
      </c>
      <c r="T1" s="6">
        <v>45536</v>
      </c>
      <c r="U1" s="6">
        <v>45566</v>
      </c>
      <c r="V1" s="6">
        <v>45597</v>
      </c>
      <c r="W1" s="6">
        <v>45627</v>
      </c>
      <c r="X1" s="6">
        <v>45658</v>
      </c>
      <c r="Y1" s="6">
        <v>45689</v>
      </c>
      <c r="Z1" s="6">
        <v>45720</v>
      </c>
      <c r="AA1" s="6">
        <v>45752</v>
      </c>
      <c r="AB1" s="9">
        <v>45802</v>
      </c>
      <c r="AC1" s="10">
        <v>45834</v>
      </c>
      <c r="AD1" s="11">
        <v>45863</v>
      </c>
      <c r="AE1" s="11">
        <v>45894</v>
      </c>
      <c r="AF1" s="11">
        <v>45926</v>
      </c>
      <c r="AG1" s="11">
        <v>45956</v>
      </c>
      <c r="AH1" s="11">
        <v>45987</v>
      </c>
      <c r="AI1" s="12" t="s">
        <v>3</v>
      </c>
    </row>
    <row r="2" spans="1:35" ht="15.5" x14ac:dyDescent="0.35">
      <c r="A2" s="13" t="s">
        <v>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  <c r="AD2" s="14"/>
      <c r="AE2" s="14"/>
      <c r="AF2" s="14"/>
      <c r="AG2" s="14"/>
      <c r="AH2" s="14"/>
      <c r="AI2" s="13"/>
    </row>
    <row r="3" spans="1:35" ht="18.5" x14ac:dyDescent="0.35">
      <c r="A3" s="15" t="s">
        <v>5</v>
      </c>
      <c r="B3" s="16">
        <v>0.15</v>
      </c>
      <c r="C3" s="16"/>
      <c r="D3" s="17">
        <v>0.10970000000000001</v>
      </c>
      <c r="E3" s="17">
        <v>9.1499999999999998E-2</v>
      </c>
      <c r="F3" s="17">
        <v>9.3299999999999994E-2</v>
      </c>
      <c r="G3" s="17">
        <v>9.7000000000000003E-2</v>
      </c>
      <c r="H3" s="17">
        <v>9.8000000000000004E-2</v>
      </c>
      <c r="I3" s="17">
        <v>9.0899999999999995E-2</v>
      </c>
      <c r="J3" s="17">
        <v>9.2700000000000005E-2</v>
      </c>
      <c r="K3" s="17">
        <v>9.7699999999999995E-2</v>
      </c>
      <c r="L3" s="17">
        <v>0.10199999999999999</v>
      </c>
      <c r="M3" s="17">
        <v>9.5699999999999993E-2</v>
      </c>
      <c r="N3" s="17">
        <v>9.6799999999999997E-2</v>
      </c>
      <c r="O3" s="17">
        <v>9.6000000000000002E-2</v>
      </c>
      <c r="P3" s="17">
        <v>9.4799999999999995E-2</v>
      </c>
      <c r="Q3" s="17">
        <v>9.5899999999999999E-2</v>
      </c>
      <c r="R3" s="17">
        <v>8.8499999999999995E-2</v>
      </c>
      <c r="S3" s="17">
        <v>9.2499999999999999E-2</v>
      </c>
      <c r="T3" s="17">
        <v>9.4E-2</v>
      </c>
      <c r="U3" s="17">
        <v>9.5000000000000001E-2</v>
      </c>
      <c r="V3" s="17">
        <v>0.126</v>
      </c>
      <c r="W3" s="17">
        <v>8.6900000000000005E-2</v>
      </c>
      <c r="X3" s="17">
        <v>0.1019</v>
      </c>
      <c r="Y3" s="17">
        <v>0.1346</v>
      </c>
      <c r="Z3" s="17">
        <v>0.11800000000000001</v>
      </c>
      <c r="AA3" s="18">
        <v>0.155</v>
      </c>
      <c r="AB3" s="18">
        <v>0.16</v>
      </c>
      <c r="AC3" s="19">
        <v>0.161</v>
      </c>
      <c r="AD3" s="19">
        <v>0.16300000000000001</v>
      </c>
      <c r="AE3" s="19">
        <v>0.16600000000000001</v>
      </c>
      <c r="AF3" s="19">
        <v>0.16</v>
      </c>
      <c r="AG3" s="19">
        <v>0.16</v>
      </c>
      <c r="AH3" s="19">
        <v>0.16</v>
      </c>
      <c r="AI3" s="35">
        <f>AVERAGE(X3:AH3)</f>
        <v>0.14904545454545451</v>
      </c>
    </row>
    <row r="4" spans="1:35" ht="18.5" x14ac:dyDescent="0.35">
      <c r="A4" s="20" t="s">
        <v>6</v>
      </c>
      <c r="B4" s="21">
        <v>0.85</v>
      </c>
      <c r="C4" s="16"/>
      <c r="D4" s="22"/>
      <c r="E4" s="23">
        <v>5.9200000000000003E-2</v>
      </c>
      <c r="F4" s="24">
        <v>0.90129999999999999</v>
      </c>
      <c r="G4" s="17">
        <v>7.5800000000000006E-2</v>
      </c>
      <c r="H4" s="24">
        <v>0.65449999999999997</v>
      </c>
      <c r="I4" s="24">
        <v>0.5181</v>
      </c>
      <c r="J4" s="24">
        <v>0.53290000000000004</v>
      </c>
      <c r="K4" s="24">
        <v>0.7419</v>
      </c>
      <c r="L4" s="24">
        <v>0.25</v>
      </c>
      <c r="M4" s="24">
        <v>0.44319999999999998</v>
      </c>
      <c r="N4" s="24">
        <v>1.42</v>
      </c>
      <c r="O4" s="24">
        <v>0.2666</v>
      </c>
      <c r="P4" s="24">
        <v>0.11</v>
      </c>
      <c r="Q4" s="24">
        <v>2.7</v>
      </c>
      <c r="R4" s="24">
        <v>0.96</v>
      </c>
      <c r="S4" s="24">
        <v>0.11</v>
      </c>
      <c r="T4" s="24">
        <v>3.14</v>
      </c>
      <c r="U4" s="24">
        <v>0</v>
      </c>
      <c r="V4" s="24">
        <v>3.2</v>
      </c>
      <c r="W4" s="24">
        <v>0.76</v>
      </c>
      <c r="X4" s="24">
        <v>1.24</v>
      </c>
      <c r="Y4" s="24">
        <v>0.94</v>
      </c>
      <c r="Z4" s="24">
        <v>5.0999999999999996</v>
      </c>
      <c r="AA4" s="24">
        <v>1.64</v>
      </c>
      <c r="AB4" s="24">
        <v>15.64</v>
      </c>
      <c r="AC4" s="24">
        <v>2.78</v>
      </c>
      <c r="AD4" s="24">
        <v>1.44</v>
      </c>
      <c r="AE4" s="25" t="s">
        <v>7</v>
      </c>
      <c r="AF4" s="25" t="s">
        <v>7</v>
      </c>
      <c r="AG4" s="25" t="s">
        <v>7</v>
      </c>
      <c r="AH4" s="25" t="s">
        <v>7</v>
      </c>
      <c r="AI4" s="24">
        <f>AVERAGE(X4:AG4)</f>
        <v>4.1114285714285721</v>
      </c>
    </row>
    <row r="5" spans="1:35" ht="18.5" x14ac:dyDescent="0.35">
      <c r="A5" s="26" t="s">
        <v>8</v>
      </c>
      <c r="B5" s="16">
        <v>0.75</v>
      </c>
      <c r="C5" s="16"/>
      <c r="D5" s="24">
        <v>0.76700000000000002</v>
      </c>
      <c r="E5" s="24">
        <v>0.67090000000000005</v>
      </c>
      <c r="F5" s="24">
        <v>0.61240000000000006</v>
      </c>
      <c r="G5" s="24">
        <v>0.66139999999999999</v>
      </c>
      <c r="H5" s="24">
        <v>0.75700000000000001</v>
      </c>
      <c r="I5" s="24">
        <v>0.74850000000000005</v>
      </c>
      <c r="J5" s="24">
        <v>0.66779999999999995</v>
      </c>
      <c r="K5" s="24">
        <v>0.66720000000000002</v>
      </c>
      <c r="L5" s="24">
        <v>0.70669999999999999</v>
      </c>
      <c r="M5" s="24">
        <v>0.71919999999999995</v>
      </c>
      <c r="N5" s="24">
        <v>0.68369999999999997</v>
      </c>
      <c r="O5" s="24">
        <v>0.72950000000000004</v>
      </c>
      <c r="P5" s="24">
        <v>0.75080000000000002</v>
      </c>
      <c r="Q5" s="24">
        <v>0.70520000000000005</v>
      </c>
      <c r="R5" s="24">
        <v>0.82669999999999999</v>
      </c>
      <c r="S5" s="24">
        <v>0.62570000000000003</v>
      </c>
      <c r="T5" s="24">
        <v>0.73360000000000003</v>
      </c>
      <c r="U5" s="24">
        <v>0.84699999999999998</v>
      </c>
      <c r="V5" s="24">
        <v>0.68520000000000003</v>
      </c>
      <c r="W5" s="24">
        <v>0.69920000000000004</v>
      </c>
      <c r="X5" s="24">
        <v>0.6361</v>
      </c>
      <c r="Y5" s="24">
        <v>0.8327</v>
      </c>
      <c r="Z5" s="24">
        <v>0.58899999999999997</v>
      </c>
      <c r="AA5" s="24">
        <v>0.55390000000000006</v>
      </c>
      <c r="AB5" s="27">
        <v>0.61599999999999999</v>
      </c>
      <c r="AC5" s="27">
        <v>0.60860000000000003</v>
      </c>
      <c r="AD5" s="27">
        <v>0.55620000000000003</v>
      </c>
      <c r="AE5" s="27">
        <v>0.64969999999999994</v>
      </c>
      <c r="AF5" s="27">
        <v>0.68300000000000005</v>
      </c>
      <c r="AG5" s="27">
        <v>0.60389999999999999</v>
      </c>
      <c r="AH5" s="27">
        <v>0.56679999999999997</v>
      </c>
      <c r="AI5" s="24">
        <f>AVERAGE(X5:AH5)</f>
        <v>0.62690000000000001</v>
      </c>
    </row>
    <row r="6" spans="1:35" ht="18.5" x14ac:dyDescent="0.35">
      <c r="A6" s="20" t="s">
        <v>9</v>
      </c>
      <c r="B6" s="21">
        <v>0.95</v>
      </c>
      <c r="C6" s="16"/>
      <c r="D6" s="28">
        <v>0.95</v>
      </c>
      <c r="E6" s="28">
        <v>0.96</v>
      </c>
      <c r="F6" s="28">
        <v>0.92</v>
      </c>
      <c r="G6" s="28">
        <v>0.95</v>
      </c>
      <c r="H6" s="28">
        <v>0.95</v>
      </c>
      <c r="I6" s="28">
        <v>0.96</v>
      </c>
      <c r="J6" s="28">
        <v>0.97</v>
      </c>
      <c r="K6" s="28">
        <v>0.96</v>
      </c>
      <c r="L6" s="28">
        <v>0.96</v>
      </c>
      <c r="M6" s="28">
        <v>0.96</v>
      </c>
      <c r="N6" s="28">
        <v>0.95</v>
      </c>
      <c r="O6" s="28">
        <v>0.97</v>
      </c>
      <c r="P6" s="28">
        <v>0.97</v>
      </c>
      <c r="Q6" s="28">
        <v>0.94</v>
      </c>
      <c r="R6" s="28">
        <v>0.95</v>
      </c>
      <c r="S6" s="28">
        <v>0.98</v>
      </c>
      <c r="T6" s="28">
        <v>0.98</v>
      </c>
      <c r="U6" s="28">
        <v>0.98</v>
      </c>
      <c r="V6" s="28">
        <v>0.99</v>
      </c>
      <c r="W6" s="28">
        <v>0.98</v>
      </c>
      <c r="X6" s="24">
        <v>0.98</v>
      </c>
      <c r="Y6" s="24">
        <v>0.98</v>
      </c>
      <c r="Z6" s="24">
        <v>0.99</v>
      </c>
      <c r="AA6" s="24">
        <v>0.97</v>
      </c>
      <c r="AB6" s="24">
        <v>0.98</v>
      </c>
      <c r="AC6" s="24">
        <v>0.95</v>
      </c>
      <c r="AD6" s="24">
        <v>0.99</v>
      </c>
      <c r="AE6" s="24">
        <v>1</v>
      </c>
      <c r="AF6" s="24">
        <v>0.97</v>
      </c>
      <c r="AG6" s="24">
        <v>0.98</v>
      </c>
      <c r="AH6" s="25" t="s">
        <v>37</v>
      </c>
      <c r="AI6" s="24">
        <f>AVERAGE(X6:AG6)</f>
        <v>0.97900000000000009</v>
      </c>
    </row>
    <row r="7" spans="1:35" ht="18.5" x14ac:dyDescent="0.35">
      <c r="A7" s="20" t="s">
        <v>10</v>
      </c>
      <c r="B7" s="29">
        <v>0.5</v>
      </c>
      <c r="C7" s="16"/>
      <c r="D7" s="30"/>
      <c r="E7" s="31">
        <v>-0.17</v>
      </c>
      <c r="F7" s="31">
        <v>0.08</v>
      </c>
      <c r="G7" s="31">
        <v>0.1</v>
      </c>
      <c r="H7" s="31">
        <v>0.2</v>
      </c>
      <c r="I7" s="31">
        <v>0.28000000000000003</v>
      </c>
      <c r="J7" s="28">
        <v>0.85</v>
      </c>
      <c r="K7" s="32">
        <v>0.88</v>
      </c>
      <c r="L7" s="28">
        <v>0.76</v>
      </c>
      <c r="M7" s="31">
        <v>0</v>
      </c>
      <c r="N7" s="28">
        <v>1</v>
      </c>
      <c r="O7" s="28">
        <v>1</v>
      </c>
      <c r="P7" s="28">
        <v>0.6573</v>
      </c>
      <c r="Q7" s="28">
        <v>0.61</v>
      </c>
      <c r="R7" s="27">
        <v>-0.59</v>
      </c>
      <c r="S7" s="28">
        <v>0.89</v>
      </c>
      <c r="T7" s="28">
        <v>0.89</v>
      </c>
      <c r="U7" s="28">
        <v>0.34</v>
      </c>
      <c r="V7" s="28">
        <v>0.4</v>
      </c>
      <c r="W7" s="31">
        <v>0</v>
      </c>
      <c r="X7" s="27">
        <v>0.21969999999999998</v>
      </c>
      <c r="Y7" s="24">
        <v>1</v>
      </c>
      <c r="Z7" s="24">
        <v>0.52</v>
      </c>
      <c r="AA7" s="33">
        <v>0.70069999999999988</v>
      </c>
      <c r="AB7" s="33">
        <v>0.45880000000000004</v>
      </c>
      <c r="AC7" s="34">
        <v>-0.74250000000000005</v>
      </c>
      <c r="AD7" s="34">
        <v>0.31269999999999998</v>
      </c>
      <c r="AE7" s="34">
        <v>0.1358</v>
      </c>
      <c r="AF7" s="34">
        <v>0.67169999999999996</v>
      </c>
      <c r="AG7" s="34">
        <v>0.64780000000000004</v>
      </c>
      <c r="AH7" s="34">
        <v>-0.86</v>
      </c>
      <c r="AI7" s="100">
        <f>AVERAGE(X7:AH7)</f>
        <v>0.27860909090909092</v>
      </c>
    </row>
    <row r="8" spans="1:35" ht="18.5" hidden="1" x14ac:dyDescent="0.35">
      <c r="A8" s="36" t="s">
        <v>11</v>
      </c>
      <c r="B8" s="29">
        <v>0.95</v>
      </c>
      <c r="C8" s="16"/>
      <c r="D8" s="30"/>
      <c r="E8" s="37"/>
      <c r="F8" s="37"/>
      <c r="G8" s="37"/>
      <c r="H8" s="37"/>
      <c r="I8" s="37"/>
      <c r="J8" s="38"/>
      <c r="K8" s="39"/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0.88</v>
      </c>
      <c r="V8" s="28">
        <v>1</v>
      </c>
      <c r="W8" s="28">
        <v>1</v>
      </c>
      <c r="X8" s="24">
        <v>1</v>
      </c>
      <c r="Y8" s="24">
        <v>1</v>
      </c>
      <c r="Z8" s="24">
        <v>1</v>
      </c>
      <c r="AA8" s="24">
        <v>1</v>
      </c>
      <c r="AB8" s="40">
        <v>1</v>
      </c>
      <c r="AC8" s="41"/>
      <c r="AD8" s="41"/>
      <c r="AE8" s="41"/>
      <c r="AF8" s="41"/>
      <c r="AG8" s="41"/>
      <c r="AH8" s="41"/>
      <c r="AI8" s="42">
        <f>AVERAGE(L8:AB8)</f>
        <v>0.99294117647058844</v>
      </c>
    </row>
    <row r="9" spans="1:35" ht="18.5" x14ac:dyDescent="0.35">
      <c r="A9" s="20" t="s">
        <v>38</v>
      </c>
      <c r="B9" s="43" t="s">
        <v>12</v>
      </c>
      <c r="C9" s="16"/>
      <c r="D9" s="30"/>
      <c r="E9" s="37"/>
      <c r="F9" s="37"/>
      <c r="G9" s="37"/>
      <c r="H9" s="37"/>
      <c r="I9" s="37"/>
      <c r="J9" s="38"/>
      <c r="K9" s="39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4" t="s">
        <v>13</v>
      </c>
      <c r="Y9" s="24" t="s">
        <v>13</v>
      </c>
      <c r="Z9" s="24" t="s">
        <v>13</v>
      </c>
      <c r="AA9" s="24" t="s">
        <v>13</v>
      </c>
      <c r="AB9" s="44">
        <v>0</v>
      </c>
      <c r="AC9" s="45">
        <v>0</v>
      </c>
      <c r="AD9" s="45">
        <v>0</v>
      </c>
      <c r="AE9" s="44">
        <v>0</v>
      </c>
      <c r="AF9" s="34">
        <v>0</v>
      </c>
      <c r="AG9" s="34">
        <v>0</v>
      </c>
      <c r="AH9" s="34">
        <v>0</v>
      </c>
      <c r="AI9" s="108">
        <f>AVERAGE(AA9:AH9)</f>
        <v>0</v>
      </c>
    </row>
    <row r="10" spans="1:35" ht="18.5" x14ac:dyDescent="0.35">
      <c r="A10" s="112" t="s">
        <v>39</v>
      </c>
      <c r="B10" s="29">
        <v>0.5</v>
      </c>
      <c r="C10" s="16"/>
      <c r="D10" s="30"/>
      <c r="E10" s="37"/>
      <c r="F10" s="37"/>
      <c r="G10" s="37"/>
      <c r="H10" s="37"/>
      <c r="I10" s="37"/>
      <c r="J10" s="38"/>
      <c r="K10" s="39"/>
      <c r="L10" s="28">
        <v>1.4812000000000001</v>
      </c>
      <c r="M10" s="31">
        <v>0</v>
      </c>
      <c r="N10" s="28">
        <v>0.69820000000000004</v>
      </c>
      <c r="O10" s="31">
        <v>0</v>
      </c>
      <c r="P10" s="28">
        <v>0.57769999999999999</v>
      </c>
      <c r="Q10" s="28">
        <v>2.8</v>
      </c>
      <c r="R10" s="28">
        <v>0.85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27">
        <v>0</v>
      </c>
      <c r="Y10" s="27">
        <v>0</v>
      </c>
      <c r="Z10" s="27">
        <v>0.26979999999999998</v>
      </c>
      <c r="AA10" s="27">
        <v>0</v>
      </c>
      <c r="AB10" s="27">
        <v>0</v>
      </c>
      <c r="AC10" s="24">
        <v>1</v>
      </c>
      <c r="AD10" s="27">
        <v>0</v>
      </c>
      <c r="AE10" s="27">
        <v>0</v>
      </c>
      <c r="AF10" s="46">
        <v>0</v>
      </c>
      <c r="AG10" s="46">
        <v>0</v>
      </c>
      <c r="AH10" s="46">
        <v>0</v>
      </c>
      <c r="AI10" s="47">
        <f>AVERAGE(X10:AG10)</f>
        <v>0.12698000000000001</v>
      </c>
    </row>
    <row r="11" spans="1:35" ht="18.5" x14ac:dyDescent="0.35">
      <c r="A11" s="103" t="s">
        <v>14</v>
      </c>
      <c r="B11" s="29">
        <v>0.4</v>
      </c>
      <c r="C11" s="16"/>
      <c r="D11" s="30"/>
      <c r="E11" s="37"/>
      <c r="F11" s="37"/>
      <c r="G11" s="37"/>
      <c r="H11" s="37"/>
      <c r="I11" s="37"/>
      <c r="J11" s="38"/>
      <c r="K11" s="39"/>
      <c r="L11" s="28">
        <v>0.66</v>
      </c>
      <c r="M11" s="28">
        <v>0.53</v>
      </c>
      <c r="N11" s="28">
        <v>0.53</v>
      </c>
      <c r="O11" s="31">
        <v>0.25</v>
      </c>
      <c r="P11" s="31">
        <v>0.24</v>
      </c>
      <c r="Q11" s="31">
        <v>0.08</v>
      </c>
      <c r="R11" s="31">
        <v>0.19</v>
      </c>
      <c r="S11" s="31">
        <v>0.37</v>
      </c>
      <c r="T11" s="31">
        <v>0.18</v>
      </c>
      <c r="U11" s="28">
        <v>0.79</v>
      </c>
      <c r="V11" s="31">
        <v>0</v>
      </c>
      <c r="W11" s="31">
        <v>0</v>
      </c>
      <c r="X11" s="27">
        <v>7.0000000000000007E-2</v>
      </c>
      <c r="Y11" s="27">
        <v>0.06</v>
      </c>
      <c r="Z11" s="27">
        <v>0</v>
      </c>
      <c r="AA11" s="27">
        <v>0</v>
      </c>
      <c r="AB11" s="34">
        <v>0</v>
      </c>
      <c r="AC11" s="24">
        <v>0.31</v>
      </c>
      <c r="AD11" s="24">
        <v>0.39</v>
      </c>
      <c r="AE11" s="27">
        <v>0.23</v>
      </c>
      <c r="AF11" s="27">
        <v>0.14000000000000001</v>
      </c>
      <c r="AG11" s="27">
        <v>0.32</v>
      </c>
      <c r="AH11" s="25" t="s">
        <v>37</v>
      </c>
      <c r="AI11" s="17">
        <f>AVERAGE(X11:AG11)</f>
        <v>0.15200000000000002</v>
      </c>
    </row>
    <row r="12" spans="1:35" ht="15.5" x14ac:dyDescent="0.35">
      <c r="A12" s="13" t="s">
        <v>15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8.5" x14ac:dyDescent="0.35">
      <c r="A13" s="20" t="s">
        <v>16</v>
      </c>
      <c r="B13" s="48">
        <v>1600</v>
      </c>
      <c r="C13" s="49"/>
      <c r="D13" s="30"/>
      <c r="E13" s="50">
        <v>908</v>
      </c>
      <c r="F13" s="50">
        <v>1298</v>
      </c>
      <c r="G13" s="50">
        <v>1514</v>
      </c>
      <c r="H13" s="50">
        <v>1696</v>
      </c>
      <c r="I13" s="50">
        <v>1334</v>
      </c>
      <c r="J13" s="50">
        <v>1609</v>
      </c>
      <c r="K13" s="50">
        <v>1279</v>
      </c>
      <c r="L13" s="50">
        <v>1357</v>
      </c>
      <c r="M13" s="50">
        <v>1202</v>
      </c>
      <c r="N13" s="50">
        <v>1036</v>
      </c>
      <c r="O13" s="51">
        <v>1775</v>
      </c>
      <c r="P13" s="51">
        <v>1877</v>
      </c>
      <c r="Q13" s="50">
        <v>1449</v>
      </c>
      <c r="R13" s="52">
        <v>1970</v>
      </c>
      <c r="S13" s="53">
        <v>1336</v>
      </c>
      <c r="T13" s="53">
        <v>1267</v>
      </c>
      <c r="U13" s="53">
        <v>1382</v>
      </c>
      <c r="V13" s="53">
        <v>1230</v>
      </c>
      <c r="W13" s="53">
        <v>1011</v>
      </c>
      <c r="X13" s="53">
        <v>1078</v>
      </c>
      <c r="Y13" s="52">
        <v>2025</v>
      </c>
      <c r="Z13" s="53">
        <v>1195</v>
      </c>
      <c r="AA13" s="53">
        <v>1412</v>
      </c>
      <c r="AB13" s="52">
        <v>2611</v>
      </c>
      <c r="AC13" s="52">
        <v>2347</v>
      </c>
      <c r="AD13" s="52">
        <v>2510</v>
      </c>
      <c r="AE13" s="101">
        <v>1225</v>
      </c>
      <c r="AF13" s="101">
        <v>1206</v>
      </c>
      <c r="AG13" s="101">
        <v>1534</v>
      </c>
      <c r="AH13" s="101">
        <v>624</v>
      </c>
      <c r="AI13" s="54">
        <f>AVERAGE(L13:AH13)</f>
        <v>1506.9130434782608</v>
      </c>
    </row>
    <row r="14" spans="1:35" ht="18.5" x14ac:dyDescent="0.35">
      <c r="A14" s="26" t="s">
        <v>17</v>
      </c>
      <c r="B14" s="16">
        <v>0.6</v>
      </c>
      <c r="C14" s="16"/>
      <c r="D14" s="30"/>
      <c r="E14" s="55">
        <v>0.19</v>
      </c>
      <c r="F14" s="55">
        <v>0.33</v>
      </c>
      <c r="G14" s="55">
        <v>0.47</v>
      </c>
      <c r="H14" s="17">
        <v>0.35699999999999998</v>
      </c>
      <c r="I14" s="17">
        <v>0.33329999999999999</v>
      </c>
      <c r="J14" s="55">
        <v>0.125</v>
      </c>
      <c r="K14" s="35">
        <v>0.26600000000000001</v>
      </c>
      <c r="L14" s="56">
        <v>0.375</v>
      </c>
      <c r="M14" s="56">
        <v>0.31109999999999999</v>
      </c>
      <c r="N14" s="56">
        <v>0.27</v>
      </c>
      <c r="O14" s="56">
        <v>0.41299999999999998</v>
      </c>
      <c r="P14" s="56">
        <v>0.3947</v>
      </c>
      <c r="Q14" s="56" t="s">
        <v>18</v>
      </c>
      <c r="R14" s="17">
        <v>0.1143</v>
      </c>
      <c r="S14" s="24">
        <v>0.7752</v>
      </c>
      <c r="T14" s="24">
        <v>0.79859999999999998</v>
      </c>
      <c r="U14" s="24">
        <v>0.76670000000000005</v>
      </c>
      <c r="V14" s="27">
        <v>0.58330000000000004</v>
      </c>
      <c r="W14" s="27">
        <v>0.47720000000000001</v>
      </c>
      <c r="X14" s="27">
        <v>0.40910000000000002</v>
      </c>
      <c r="Y14" s="24">
        <v>0.6774</v>
      </c>
      <c r="Z14" s="24">
        <v>0.78</v>
      </c>
      <c r="AA14" s="24">
        <v>0.78430000000000011</v>
      </c>
      <c r="AB14" s="24">
        <v>0.73260000000000003</v>
      </c>
      <c r="AC14" s="24">
        <v>0.79170000000000007</v>
      </c>
      <c r="AD14" s="24">
        <v>0.71030000000000004</v>
      </c>
      <c r="AE14" s="24">
        <v>0.63329999999999997</v>
      </c>
      <c r="AF14" s="24">
        <v>0.76870000000000005</v>
      </c>
      <c r="AG14" s="113">
        <v>0.45</v>
      </c>
      <c r="AH14" s="113">
        <v>0.43</v>
      </c>
      <c r="AI14" s="17">
        <f>AVERAGE(L14:AG14)</f>
        <v>0.57221428571428579</v>
      </c>
    </row>
    <row r="15" spans="1:35" ht="18.5" x14ac:dyDescent="0.35">
      <c r="A15" s="26" t="s">
        <v>19</v>
      </c>
      <c r="B15" s="16">
        <v>0.15</v>
      </c>
      <c r="C15" s="57"/>
      <c r="D15" s="30"/>
      <c r="E15" s="51">
        <v>326</v>
      </c>
      <c r="F15" s="50">
        <v>273</v>
      </c>
      <c r="G15" s="51">
        <v>368</v>
      </c>
      <c r="H15" s="50">
        <v>293</v>
      </c>
      <c r="I15" s="50">
        <v>280</v>
      </c>
      <c r="J15" s="50">
        <v>272</v>
      </c>
      <c r="K15" s="17">
        <v>-5.9900000000000002E-2</v>
      </c>
      <c r="L15" s="17">
        <v>7.1900000000000006E-2</v>
      </c>
      <c r="M15" s="17">
        <v>-7.2300000000000003E-2</v>
      </c>
      <c r="N15" s="17">
        <v>7.1900000000000006E-2</v>
      </c>
      <c r="O15" s="24">
        <v>0.38669999999999999</v>
      </c>
      <c r="P15" s="17">
        <v>0.1022</v>
      </c>
      <c r="Q15" s="17">
        <v>2.4500000000000001E-2</v>
      </c>
      <c r="R15" s="35">
        <v>0.19409999999999999</v>
      </c>
      <c r="S15" s="17">
        <v>-6.25E-2</v>
      </c>
      <c r="T15" s="17">
        <v>0.11260000000000001</v>
      </c>
      <c r="U15" s="17">
        <v>0.1026</v>
      </c>
      <c r="V15" s="17">
        <v>9.9299999999999999E-2</v>
      </c>
      <c r="W15" s="17">
        <v>0.03</v>
      </c>
      <c r="X15" s="17">
        <v>-6.1500000000000006E-2</v>
      </c>
      <c r="Y15" s="17">
        <v>5.0799999999999998E-2</v>
      </c>
      <c r="Z15" s="17">
        <v>-0.18719999999999998</v>
      </c>
      <c r="AA15" s="17">
        <v>-0.16059999999999999</v>
      </c>
      <c r="AB15" s="17">
        <v>-5.0599999999999999E-2</v>
      </c>
      <c r="AC15" s="17">
        <v>-5.3899999999999997E-2</v>
      </c>
      <c r="AD15" s="17">
        <v>-8.900000000000001E-2</v>
      </c>
      <c r="AE15" s="17">
        <v>3.4799999999999998E-2</v>
      </c>
      <c r="AF15" s="17">
        <v>-1.5300000000000001E-2</v>
      </c>
      <c r="AG15" s="24">
        <v>3.32E-2</v>
      </c>
      <c r="AH15" s="17">
        <v>-5.9700000000000003E-2</v>
      </c>
      <c r="AI15" s="17">
        <f>AVERAGE(N15:AG15)</f>
        <v>2.8105000000000002E-2</v>
      </c>
    </row>
    <row r="16" spans="1:35" ht="18.5" x14ac:dyDescent="0.35">
      <c r="A16" s="26" t="s">
        <v>20</v>
      </c>
      <c r="B16" s="58">
        <v>0.3</v>
      </c>
      <c r="C16" s="57"/>
      <c r="D16" s="30"/>
      <c r="E16" s="55">
        <v>-7.0000000000000007E-2</v>
      </c>
      <c r="F16" s="55">
        <v>-0.43</v>
      </c>
      <c r="G16" s="55">
        <v>-0.13</v>
      </c>
      <c r="H16" s="55">
        <v>-0.2</v>
      </c>
      <c r="I16" s="32">
        <v>0.43</v>
      </c>
      <c r="J16" s="32">
        <v>0.55000000000000004</v>
      </c>
      <c r="K16" s="55">
        <v>-0.3448</v>
      </c>
      <c r="L16" s="59">
        <v>0.45269999999999999</v>
      </c>
      <c r="M16" s="59">
        <v>0.38779999999999998</v>
      </c>
      <c r="N16" s="17">
        <v>0.22919999999999999</v>
      </c>
      <c r="O16" s="17">
        <v>2.0799999999999999E-2</v>
      </c>
      <c r="P16" s="17">
        <v>9.4299999999999995E-2</v>
      </c>
      <c r="Q16" s="17">
        <v>0.1091</v>
      </c>
      <c r="R16" s="35">
        <v>0.94440000000000002</v>
      </c>
      <c r="S16" s="17">
        <v>-0.35820000000000002</v>
      </c>
      <c r="T16" s="17">
        <v>6.3799999999999996E-2</v>
      </c>
      <c r="U16" s="17">
        <v>-8.77E-2</v>
      </c>
      <c r="V16" s="17">
        <v>-0.2097</v>
      </c>
      <c r="W16" s="17">
        <v>0.26319999999999999</v>
      </c>
      <c r="X16" s="17">
        <v>-0.2208</v>
      </c>
      <c r="Y16" s="17">
        <v>2.9399999999999999E-2</v>
      </c>
      <c r="Z16" s="17">
        <v>-0.2712</v>
      </c>
      <c r="AA16" s="17">
        <v>-0.32650000000000001</v>
      </c>
      <c r="AB16" s="17">
        <v>-0.43099999999999999</v>
      </c>
      <c r="AC16" s="17">
        <v>0.18329999999999999</v>
      </c>
      <c r="AD16" s="17">
        <v>-0.33799999999999997</v>
      </c>
      <c r="AE16" s="17">
        <v>-0.37209999999999999</v>
      </c>
      <c r="AF16" s="24">
        <v>0.44189999999999996</v>
      </c>
      <c r="AG16" s="17">
        <v>-0.46150000000000002</v>
      </c>
      <c r="AH16" s="17">
        <v>-0.16969999999999999</v>
      </c>
      <c r="AI16" s="17">
        <f>AVERAGE(L16:AH16)</f>
        <v>-1.1521739130434683E-3</v>
      </c>
    </row>
    <row r="17" spans="1:35" ht="18.5" x14ac:dyDescent="0.35">
      <c r="A17" s="26" t="s">
        <v>21</v>
      </c>
      <c r="B17" s="16">
        <v>0.12</v>
      </c>
      <c r="C17" s="16"/>
      <c r="D17" s="30"/>
      <c r="E17" s="60"/>
      <c r="F17" s="55">
        <v>-0.79</v>
      </c>
      <c r="G17" s="55">
        <v>-0.33</v>
      </c>
      <c r="H17" s="55">
        <v>-0.72</v>
      </c>
      <c r="I17" s="55">
        <v>-0.8</v>
      </c>
      <c r="J17" s="32">
        <v>0.89</v>
      </c>
      <c r="K17" s="59">
        <v>1.64</v>
      </c>
      <c r="L17" s="55">
        <v>-0.60899999999999999</v>
      </c>
      <c r="M17" s="55">
        <v>-0.64300000000000002</v>
      </c>
      <c r="N17" s="55">
        <v>-3.2300000000000002E-2</v>
      </c>
      <c r="O17" s="55">
        <v>-0.65710000000000002</v>
      </c>
      <c r="P17" s="55">
        <v>-0.3871</v>
      </c>
      <c r="Q17" s="17">
        <v>-0.37140000000000001</v>
      </c>
      <c r="R17" s="17">
        <v>0</v>
      </c>
      <c r="S17" s="17">
        <v>-0.44119999999999998</v>
      </c>
      <c r="T17" s="35">
        <v>1.8579000000000001</v>
      </c>
      <c r="U17" s="17">
        <v>0</v>
      </c>
      <c r="V17" s="17">
        <v>5.5599999999999997E-2</v>
      </c>
      <c r="W17" s="35">
        <v>1.3448</v>
      </c>
      <c r="X17" s="35">
        <v>2.0554999999999999</v>
      </c>
      <c r="Y17" s="35">
        <v>3.6</v>
      </c>
      <c r="Z17" s="35">
        <v>0.16670000000000001</v>
      </c>
      <c r="AA17" s="35">
        <v>1.5416999999999998</v>
      </c>
      <c r="AB17" s="17">
        <v>5.2600000000000001E-2</v>
      </c>
      <c r="AC17" s="35">
        <v>1.6363999999999999</v>
      </c>
      <c r="AD17" s="17">
        <v>-0.1852</v>
      </c>
      <c r="AE17" s="35">
        <v>1.4737</v>
      </c>
      <c r="AF17" s="35">
        <v>0.15</v>
      </c>
      <c r="AG17" s="100">
        <v>0.1</v>
      </c>
      <c r="AH17" s="35">
        <v>0.84440000000000004</v>
      </c>
      <c r="AI17" s="35">
        <f>AVERAGE(L17:AH17)</f>
        <v>0.50230434782608702</v>
      </c>
    </row>
    <row r="18" spans="1:35" ht="18.5" x14ac:dyDescent="0.35">
      <c r="A18" s="26" t="s">
        <v>22</v>
      </c>
      <c r="B18" s="16">
        <v>0.2</v>
      </c>
      <c r="C18" s="16"/>
      <c r="D18" s="30"/>
      <c r="E18" s="30"/>
      <c r="F18" s="55">
        <v>-0.14000000000000001</v>
      </c>
      <c r="G18" s="55">
        <v>-0.39</v>
      </c>
      <c r="H18" s="32">
        <v>0.19</v>
      </c>
      <c r="I18" s="55">
        <v>-0.28999999999999998</v>
      </c>
      <c r="J18" s="32">
        <v>0.26</v>
      </c>
      <c r="K18" s="17">
        <v>1E-4</v>
      </c>
      <c r="L18" s="59">
        <v>0.76829999999999998</v>
      </c>
      <c r="M18" s="56">
        <v>0.113</v>
      </c>
      <c r="N18" s="17">
        <v>0.1497</v>
      </c>
      <c r="O18" s="17">
        <v>-0.1837</v>
      </c>
      <c r="P18" s="35">
        <v>0.2</v>
      </c>
      <c r="Q18" s="17">
        <v>7.7000000000000002E-3</v>
      </c>
      <c r="R18" s="17">
        <v>-4.6199999999999998E-2</v>
      </c>
      <c r="S18" s="17">
        <v>-0.1119</v>
      </c>
      <c r="T18" s="17">
        <v>-0.58150000000000002</v>
      </c>
      <c r="U18" s="17">
        <v>-2.3599999999999999E-2</v>
      </c>
      <c r="V18" s="17">
        <v>-0.79349999999999998</v>
      </c>
      <c r="W18" s="17">
        <v>-0.26469999999999999</v>
      </c>
      <c r="X18" s="17">
        <v>-0.70340000000000003</v>
      </c>
      <c r="Y18" s="17">
        <v>-0.17190000000000003</v>
      </c>
      <c r="Z18" s="17">
        <v>-0.78700000000000003</v>
      </c>
      <c r="AA18" s="17">
        <v>-0.15</v>
      </c>
      <c r="AB18" s="17">
        <v>-0.42420000000000002</v>
      </c>
      <c r="AC18" s="17">
        <v>-0.33590000000000003</v>
      </c>
      <c r="AD18" s="17">
        <v>-0.2097</v>
      </c>
      <c r="AE18" s="17">
        <v>-0.69290000000000007</v>
      </c>
      <c r="AF18" s="17">
        <v>-0.10199999999999999</v>
      </c>
      <c r="AG18" s="17">
        <v>-0.2903</v>
      </c>
      <c r="AH18" s="17">
        <v>-0.46429999999999999</v>
      </c>
      <c r="AI18" s="17">
        <f>AVERAGE(L18:AH18)</f>
        <v>-0.22165217391304348</v>
      </c>
    </row>
    <row r="19" spans="1:35" ht="18.5" x14ac:dyDescent="0.35">
      <c r="A19" s="26" t="s">
        <v>23</v>
      </c>
      <c r="B19" s="16">
        <v>0.2</v>
      </c>
      <c r="C19" s="16"/>
      <c r="D19" s="30"/>
      <c r="E19" s="30"/>
      <c r="F19" s="55">
        <v>-0.43</v>
      </c>
      <c r="G19" s="55">
        <v>-0.33</v>
      </c>
      <c r="H19" s="55">
        <v>-0.25</v>
      </c>
      <c r="I19" s="55">
        <v>0</v>
      </c>
      <c r="J19" s="55">
        <v>-0.17</v>
      </c>
      <c r="K19" s="32">
        <v>3</v>
      </c>
      <c r="L19" s="55">
        <v>0</v>
      </c>
      <c r="M19" s="55">
        <v>0</v>
      </c>
      <c r="N19" s="55">
        <v>0</v>
      </c>
      <c r="O19" s="55">
        <v>0</v>
      </c>
      <c r="P19" s="35">
        <v>3</v>
      </c>
      <c r="Q19" s="17">
        <v>-0.33329999999999999</v>
      </c>
      <c r="R19" s="17">
        <v>-0.5</v>
      </c>
      <c r="S19" s="32">
        <v>1</v>
      </c>
      <c r="T19" s="32">
        <v>1.6667000000000001</v>
      </c>
      <c r="U19" s="35">
        <v>2.5</v>
      </c>
      <c r="V19" s="35">
        <v>0.4</v>
      </c>
      <c r="W19" s="35">
        <v>1</v>
      </c>
      <c r="X19" s="17">
        <v>-0.33329999999999999</v>
      </c>
      <c r="Y19" s="17">
        <v>0</v>
      </c>
      <c r="Z19" s="35">
        <v>1.3333000000000002</v>
      </c>
      <c r="AA19" s="35">
        <v>5</v>
      </c>
      <c r="AB19" s="35">
        <v>0.5</v>
      </c>
      <c r="AC19" s="35">
        <v>5</v>
      </c>
      <c r="AD19" s="35">
        <v>0.5</v>
      </c>
      <c r="AE19" s="35"/>
      <c r="AF19" s="17">
        <v>-0.85709999999999997</v>
      </c>
      <c r="AG19" s="17">
        <v>-0.71430000000000005</v>
      </c>
      <c r="AH19" s="35">
        <v>0.40739999999999998</v>
      </c>
      <c r="AI19" s="35">
        <f t="shared" ref="AI19:AI20" si="0">AVERAGE(L19:AG19)</f>
        <v>0.91247619047619044</v>
      </c>
    </row>
    <row r="20" spans="1:35" ht="18.5" x14ac:dyDescent="0.35">
      <c r="A20" s="61" t="s">
        <v>24</v>
      </c>
      <c r="B20" s="21">
        <v>0.45</v>
      </c>
      <c r="C20" s="16"/>
      <c r="D20" s="30"/>
      <c r="E20" s="17">
        <v>0.10100000000000001</v>
      </c>
      <c r="F20" s="35">
        <v>0.67549999999999999</v>
      </c>
      <c r="G20" s="55">
        <v>0.39950000000000002</v>
      </c>
      <c r="H20" s="35">
        <v>0.47270000000000001</v>
      </c>
      <c r="I20" s="55">
        <v>0.08</v>
      </c>
      <c r="J20" s="55">
        <v>0.23</v>
      </c>
      <c r="K20" s="35">
        <v>0.46300000000000002</v>
      </c>
      <c r="L20" s="35">
        <v>0.76670000000000005</v>
      </c>
      <c r="M20" s="35">
        <v>0.38300000000000001</v>
      </c>
      <c r="N20" s="35">
        <v>0.63890000000000002</v>
      </c>
      <c r="O20" s="35">
        <v>0.54</v>
      </c>
      <c r="P20" s="35">
        <v>0.32379999999999998</v>
      </c>
      <c r="Q20" s="35">
        <v>0.34720000000000001</v>
      </c>
      <c r="R20" s="17">
        <v>0.32140000000000002</v>
      </c>
      <c r="S20" s="17">
        <v>0.34250000000000003</v>
      </c>
      <c r="T20" s="35">
        <v>0.47439999999999999</v>
      </c>
      <c r="U20" s="35">
        <v>0.48649999999999999</v>
      </c>
      <c r="V20" s="35">
        <v>0.52829999999999999</v>
      </c>
      <c r="W20" s="35">
        <v>0.34</v>
      </c>
      <c r="X20" s="35">
        <v>0.84040000000000004</v>
      </c>
      <c r="Y20" s="35">
        <v>0.7389</v>
      </c>
      <c r="Z20" s="35">
        <v>0.70030000000000003</v>
      </c>
      <c r="AA20" s="17">
        <v>0.35070000000000001</v>
      </c>
      <c r="AB20" s="35">
        <v>0.55249999999999999</v>
      </c>
      <c r="AC20" s="17">
        <v>0.1489</v>
      </c>
      <c r="AD20" s="17">
        <v>0.13470000000000001</v>
      </c>
      <c r="AE20" s="17">
        <v>0.14630000000000001</v>
      </c>
      <c r="AF20" s="17">
        <v>0.2631</v>
      </c>
      <c r="AG20" s="17">
        <v>0.26600000000000001</v>
      </c>
      <c r="AH20" s="35">
        <v>0.86319999999999997</v>
      </c>
      <c r="AI20" s="35">
        <f t="shared" si="0"/>
        <v>0.4379318181818182</v>
      </c>
    </row>
    <row r="21" spans="1:35" ht="18.5" x14ac:dyDescent="0.35">
      <c r="A21" s="61" t="s">
        <v>25</v>
      </c>
      <c r="B21" s="16">
        <v>0.5</v>
      </c>
      <c r="C21" s="16"/>
      <c r="D21" s="30"/>
      <c r="E21" s="30"/>
      <c r="F21" s="62"/>
      <c r="G21" s="62"/>
      <c r="H21" s="62"/>
      <c r="I21" s="62"/>
      <c r="J21" s="62"/>
      <c r="K21" s="55">
        <v>8.3000000000000001E-3</v>
      </c>
      <c r="L21" s="17">
        <v>0.35859999999999997</v>
      </c>
      <c r="M21" s="17">
        <v>0.15490000000000001</v>
      </c>
      <c r="N21" s="55">
        <v>0.25</v>
      </c>
      <c r="O21" s="55">
        <v>0.2</v>
      </c>
      <c r="P21" s="55">
        <v>0.26669999999999999</v>
      </c>
      <c r="Q21" s="17">
        <v>0.30559999999999998</v>
      </c>
      <c r="R21" s="17">
        <v>0.26790000000000003</v>
      </c>
      <c r="S21" s="17">
        <v>0.28770000000000001</v>
      </c>
      <c r="T21" s="17">
        <v>0.35899999999999999</v>
      </c>
      <c r="U21" s="35">
        <v>0.40539999999999998</v>
      </c>
      <c r="V21" s="35">
        <v>0.41510000000000002</v>
      </c>
      <c r="W21" s="35">
        <v>0.2</v>
      </c>
      <c r="X21" s="35">
        <v>0.76600000000000001</v>
      </c>
      <c r="Y21" s="35">
        <v>0.56110000000000004</v>
      </c>
      <c r="Z21" s="35">
        <v>0.5</v>
      </c>
      <c r="AA21" s="17">
        <v>0.11840000000000001</v>
      </c>
      <c r="AB21" s="17">
        <v>0.12820000000000001</v>
      </c>
      <c r="AC21" s="17">
        <v>0.39640000000000003</v>
      </c>
      <c r="AD21" s="35">
        <v>0.7279000000000001</v>
      </c>
      <c r="AE21" s="17">
        <v>0.34840000000000004</v>
      </c>
      <c r="AF21" s="17">
        <v>0.48479999999999995</v>
      </c>
      <c r="AG21" s="17">
        <v>0.27800000000000002</v>
      </c>
      <c r="AH21" s="17">
        <v>0.4526</v>
      </c>
      <c r="AI21" s="17">
        <f>AVERAGE(L21:AH21)</f>
        <v>0.35794347826086953</v>
      </c>
    </row>
    <row r="22" spans="1:35" ht="18.5" x14ac:dyDescent="0.35">
      <c r="A22" s="63" t="s">
        <v>26</v>
      </c>
      <c r="B22" s="16">
        <v>0.15</v>
      </c>
      <c r="C22" s="64"/>
      <c r="D22" s="30"/>
      <c r="E22" s="30"/>
      <c r="F22" s="17">
        <v>2.8799999999999999E-2</v>
      </c>
      <c r="G22" s="17">
        <v>0.02</v>
      </c>
      <c r="H22" s="17">
        <v>1.77E-2</v>
      </c>
      <c r="I22" s="17">
        <v>4.7600000000000003E-2</v>
      </c>
      <c r="J22" s="17">
        <v>0.03</v>
      </c>
      <c r="K22" s="17">
        <v>0.01</v>
      </c>
      <c r="L22" s="17">
        <v>8.6099999999999996E-2</v>
      </c>
      <c r="M22" s="17">
        <v>7.7799999999999994E-2</v>
      </c>
      <c r="N22" s="17">
        <v>-4.2000000000000003E-2</v>
      </c>
      <c r="O22" s="35">
        <v>0.16189999999999999</v>
      </c>
      <c r="P22" s="17">
        <v>1.4E-2</v>
      </c>
      <c r="Q22" s="17">
        <v>4.82E-2</v>
      </c>
      <c r="R22" s="17">
        <v>6.8000000000000005E-2</v>
      </c>
      <c r="S22" s="17">
        <v>2.0199999999999999E-2</v>
      </c>
      <c r="T22" s="17">
        <v>5.33E-2</v>
      </c>
      <c r="U22" s="17">
        <v>9.4899999999999998E-2</v>
      </c>
      <c r="V22" s="17">
        <v>4.4299999999999999E-2</v>
      </c>
      <c r="W22" s="35">
        <v>0.16</v>
      </c>
      <c r="X22" s="17">
        <v>-2.69E-2</v>
      </c>
      <c r="Y22" s="17">
        <v>1.4800000000000001E-2</v>
      </c>
      <c r="Z22" s="17">
        <v>-2.0999999999999999E-3</v>
      </c>
      <c r="AA22" s="17">
        <v>1.0200000000000001E-2</v>
      </c>
      <c r="AB22" s="17">
        <v>1.21E-2</v>
      </c>
      <c r="AC22" s="17">
        <v>-0.29070000000000001</v>
      </c>
      <c r="AD22" s="17">
        <v>-0.2296</v>
      </c>
      <c r="AE22" s="17">
        <v>-0.24679999999999999</v>
      </c>
      <c r="AF22" s="17">
        <v>4.0300000000000002E-2</v>
      </c>
      <c r="AG22" s="17">
        <v>0.01</v>
      </c>
      <c r="AH22" s="17">
        <v>-4.3400000000000001E-2</v>
      </c>
      <c r="AI22" s="17">
        <f>AVERAGE(L22:AH22)</f>
        <v>1.5043478260869552E-3</v>
      </c>
    </row>
    <row r="23" spans="1:35" ht="22" customHeight="1" x14ac:dyDescent="0.35">
      <c r="A23" s="63" t="s">
        <v>27</v>
      </c>
      <c r="B23" s="43" t="s">
        <v>12</v>
      </c>
      <c r="C23" s="64"/>
      <c r="D23" s="64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9">
        <v>4.1500000000000002E-2</v>
      </c>
      <c r="AB23" s="109">
        <v>7.0800000000000002E-2</v>
      </c>
      <c r="AC23" s="109">
        <v>5.9000000000000004E-2</v>
      </c>
      <c r="AD23" s="109">
        <v>9.8000000000000004E-2</v>
      </c>
      <c r="AE23" s="109">
        <v>0.10060000000000001</v>
      </c>
      <c r="AF23" s="109">
        <v>0.17300000000000001</v>
      </c>
      <c r="AG23" s="109">
        <v>7.3999999999999996E-2</v>
      </c>
      <c r="AH23" s="109">
        <v>6.6000000000000003E-2</v>
      </c>
      <c r="AI23" s="109">
        <f>AVERAGE(AA23:AG23)</f>
        <v>8.8128571428571431E-2</v>
      </c>
    </row>
    <row r="24" spans="1:35" ht="20.5" customHeight="1" x14ac:dyDescent="0.35">
      <c r="A24" s="63" t="s">
        <v>28</v>
      </c>
      <c r="B24" s="43" t="s">
        <v>12</v>
      </c>
      <c r="C24" s="64"/>
      <c r="D24" s="30"/>
      <c r="E24" s="30"/>
      <c r="F24" s="17"/>
      <c r="G24" s="17"/>
      <c r="H24" s="17"/>
      <c r="I24" s="17"/>
      <c r="J24" s="17"/>
      <c r="K24" s="17"/>
      <c r="L24" s="17"/>
      <c r="M24" s="17"/>
      <c r="N24" s="17"/>
      <c r="O24" s="35"/>
      <c r="P24" s="17"/>
      <c r="Q24" s="17"/>
      <c r="R24" s="53"/>
      <c r="S24" s="110">
        <v>22</v>
      </c>
      <c r="T24" s="110">
        <v>32</v>
      </c>
      <c r="U24" s="110">
        <v>34</v>
      </c>
      <c r="V24" s="110">
        <v>27</v>
      </c>
      <c r="W24" s="110">
        <v>9</v>
      </c>
      <c r="X24" s="110">
        <v>12</v>
      </c>
      <c r="Y24" s="110">
        <v>47</v>
      </c>
      <c r="Z24" s="110">
        <v>77</v>
      </c>
      <c r="AA24" s="110">
        <v>64</v>
      </c>
      <c r="AB24" s="110">
        <v>38</v>
      </c>
      <c r="AC24" s="110">
        <v>34</v>
      </c>
      <c r="AD24" s="110">
        <v>73</v>
      </c>
      <c r="AE24" s="110">
        <v>96</v>
      </c>
      <c r="AF24" s="110">
        <v>59</v>
      </c>
      <c r="AG24" s="110">
        <v>91</v>
      </c>
      <c r="AH24" s="110">
        <v>41</v>
      </c>
      <c r="AI24" s="111">
        <f>AVERAGE(V24:AG24)</f>
        <v>52.25</v>
      </c>
    </row>
    <row r="25" spans="1:35" ht="20.5" customHeight="1" x14ac:dyDescent="0.35">
      <c r="A25" s="61" t="s">
        <v>6</v>
      </c>
      <c r="B25" s="21">
        <v>0.85</v>
      </c>
      <c r="C25" s="16"/>
      <c r="D25" s="30"/>
      <c r="E25" s="30"/>
      <c r="F25" s="17"/>
      <c r="G25" s="17"/>
      <c r="H25" s="17"/>
      <c r="I25" s="17"/>
      <c r="J25" s="17"/>
      <c r="K25" s="17"/>
      <c r="L25" s="17"/>
      <c r="M25" s="17"/>
      <c r="N25" s="17"/>
      <c r="O25" s="35"/>
      <c r="P25" s="17"/>
      <c r="Q25" s="17"/>
      <c r="R25" s="65"/>
      <c r="S25" s="53"/>
      <c r="T25" s="65"/>
      <c r="U25" s="53"/>
      <c r="V25" s="65"/>
      <c r="W25" s="53"/>
      <c r="X25" s="24">
        <v>1.24</v>
      </c>
      <c r="Y25" s="24">
        <v>0.94</v>
      </c>
      <c r="Z25" s="24">
        <v>5.0999999999999996</v>
      </c>
      <c r="AA25" s="24">
        <v>1.64</v>
      </c>
      <c r="AB25" s="24">
        <v>15.64</v>
      </c>
      <c r="AC25" s="24">
        <v>2.78</v>
      </c>
      <c r="AD25" s="24">
        <v>1.44</v>
      </c>
      <c r="AE25" s="32">
        <v>1.24</v>
      </c>
      <c r="AF25" s="32">
        <v>1.17</v>
      </c>
      <c r="AG25" s="32"/>
      <c r="AH25" s="32">
        <v>1.81</v>
      </c>
      <c r="AI25" s="35">
        <f>AVERAGE(X25:AH25)</f>
        <v>3.3000000000000007</v>
      </c>
    </row>
    <row r="26" spans="1:35" ht="20.5" customHeight="1" x14ac:dyDescent="0.35">
      <c r="A26" s="63" t="s">
        <v>29</v>
      </c>
      <c r="B26" s="43" t="s">
        <v>12</v>
      </c>
      <c r="C26" s="64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6"/>
      <c r="S26" s="30"/>
      <c r="T26" s="66"/>
      <c r="U26" s="30"/>
      <c r="V26" s="66"/>
      <c r="W26" s="30"/>
      <c r="X26" s="67">
        <v>7589</v>
      </c>
      <c r="Y26" s="67">
        <v>22239.25</v>
      </c>
      <c r="Z26" s="67">
        <v>23112</v>
      </c>
      <c r="AA26" s="67">
        <v>31876</v>
      </c>
      <c r="AB26" s="68">
        <v>6014.89</v>
      </c>
      <c r="AC26" s="68">
        <v>4891.8599999999997</v>
      </c>
      <c r="AD26" s="68">
        <v>35591.11</v>
      </c>
      <c r="AE26" s="68">
        <v>16283.56</v>
      </c>
      <c r="AF26" s="69">
        <v>20170.86</v>
      </c>
      <c r="AG26" s="69">
        <v>19402.04</v>
      </c>
      <c r="AH26" s="69">
        <v>12673.39</v>
      </c>
      <c r="AI26" s="104">
        <f>AVERAGE(X26:AH26)</f>
        <v>18167.632727272725</v>
      </c>
    </row>
    <row r="27" spans="1:35" ht="15.5" x14ac:dyDescent="0.35">
      <c r="A27" s="13" t="s">
        <v>30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8.5" x14ac:dyDescent="0.45">
      <c r="A28" s="26" t="s">
        <v>31</v>
      </c>
      <c r="B28" s="70">
        <v>0.85</v>
      </c>
      <c r="C28" s="49"/>
      <c r="D28" s="30"/>
      <c r="E28" s="50"/>
      <c r="F28" s="50"/>
      <c r="G28" s="71">
        <v>0.8427</v>
      </c>
      <c r="H28" s="71">
        <v>0.84470000000000001</v>
      </c>
      <c r="I28" s="72">
        <v>0.87670000000000003</v>
      </c>
      <c r="J28" s="72">
        <v>0.86219999999999997</v>
      </c>
      <c r="K28" s="71">
        <v>0.83099999999999996</v>
      </c>
      <c r="L28" s="73">
        <v>0.82199999999999995</v>
      </c>
      <c r="M28" s="73">
        <v>0.84299999999999997</v>
      </c>
      <c r="N28" s="74">
        <v>0.88670000000000004</v>
      </c>
      <c r="O28" s="75">
        <v>0.86009999999999998</v>
      </c>
      <c r="P28" s="76">
        <v>0.82269999999999999</v>
      </c>
      <c r="Q28" s="75">
        <v>0.85509999999999997</v>
      </c>
      <c r="R28" s="75">
        <v>0.86919999999999997</v>
      </c>
      <c r="S28" s="27">
        <v>0.8226</v>
      </c>
      <c r="T28" s="76">
        <v>0.8367</v>
      </c>
      <c r="U28" s="76">
        <v>0.85850000000000004</v>
      </c>
      <c r="V28" s="77">
        <v>0.8145</v>
      </c>
      <c r="W28" s="77">
        <v>0.83789999999999998</v>
      </c>
      <c r="X28" s="77">
        <v>0.63560000000000005</v>
      </c>
      <c r="Y28" s="78">
        <v>0.85429999999999995</v>
      </c>
      <c r="Z28" s="77">
        <v>0.84360000000000002</v>
      </c>
      <c r="AA28" s="78">
        <v>0.85129999999999995</v>
      </c>
      <c r="AB28" s="77">
        <v>0.81779999999999997</v>
      </c>
      <c r="AC28" s="77">
        <v>0.84760000000000002</v>
      </c>
      <c r="AD28" s="77">
        <v>0.84</v>
      </c>
      <c r="AE28" s="77">
        <v>0.84239999999999993</v>
      </c>
      <c r="AF28" s="105">
        <v>0.85730000000000006</v>
      </c>
      <c r="AG28" s="105"/>
      <c r="AH28" s="105"/>
      <c r="AI28" s="17">
        <f>AVERAGE(M28:AE28)</f>
        <v>0.83366315789473688</v>
      </c>
    </row>
    <row r="29" spans="1:35" ht="18.5" x14ac:dyDescent="0.45">
      <c r="A29" s="26" t="s">
        <v>32</v>
      </c>
      <c r="B29" s="16">
        <v>0.92</v>
      </c>
      <c r="C29" s="16"/>
      <c r="D29" s="30"/>
      <c r="E29" s="55"/>
      <c r="F29" s="55"/>
      <c r="G29" s="71">
        <v>0.86480000000000001</v>
      </c>
      <c r="H29" s="71">
        <v>0.87629999999999997</v>
      </c>
      <c r="I29" s="71">
        <v>0.88480000000000003</v>
      </c>
      <c r="J29" s="72">
        <v>0.93959999999999999</v>
      </c>
      <c r="K29" s="71">
        <v>0.88890000000000002</v>
      </c>
      <c r="L29" s="73">
        <v>0.88019999999999998</v>
      </c>
      <c r="M29" s="73">
        <v>0.90110000000000001</v>
      </c>
      <c r="N29" s="73">
        <v>0.89980000000000004</v>
      </c>
      <c r="O29" s="76">
        <v>0.91080000000000005</v>
      </c>
      <c r="P29" s="76">
        <v>0.89910000000000001</v>
      </c>
      <c r="Q29" s="76">
        <v>0.90720000000000001</v>
      </c>
      <c r="R29" s="76">
        <v>0.91390000000000005</v>
      </c>
      <c r="S29" s="24">
        <v>0.92830000000000001</v>
      </c>
      <c r="T29" s="75">
        <v>0.92230000000000001</v>
      </c>
      <c r="U29" s="75">
        <v>0.96379999999999999</v>
      </c>
      <c r="V29" s="78">
        <v>0.92549999999999999</v>
      </c>
      <c r="W29" s="78">
        <v>0.92210000000000003</v>
      </c>
      <c r="X29" s="77">
        <v>0.69969999999999999</v>
      </c>
      <c r="Y29" s="78">
        <v>0.92459999999999998</v>
      </c>
      <c r="Z29" s="78">
        <v>0.94400000000000006</v>
      </c>
      <c r="AA29" s="77">
        <v>0.89319999999999988</v>
      </c>
      <c r="AB29" s="78">
        <v>0.92200000000000004</v>
      </c>
      <c r="AC29" s="78">
        <v>0.93010000000000004</v>
      </c>
      <c r="AD29" s="77">
        <v>0.89629999999999999</v>
      </c>
      <c r="AE29" s="77">
        <v>0.91989999999999994</v>
      </c>
      <c r="AF29" s="106">
        <v>0.91769999999999996</v>
      </c>
      <c r="AG29" s="106"/>
      <c r="AH29" s="106"/>
      <c r="AI29" s="17">
        <f>AVERAGE(L29:AF29)</f>
        <v>0.90579047619047615</v>
      </c>
    </row>
    <row r="30" spans="1:35" ht="18.5" x14ac:dyDescent="0.45">
      <c r="A30" s="26" t="s">
        <v>33</v>
      </c>
      <c r="B30" s="57">
        <v>380</v>
      </c>
      <c r="C30" s="57"/>
      <c r="D30" s="30"/>
      <c r="E30" s="51"/>
      <c r="F30" s="50"/>
      <c r="G30" s="79">
        <v>369.17</v>
      </c>
      <c r="H30" s="79">
        <v>354.66</v>
      </c>
      <c r="I30" s="79">
        <v>357.05</v>
      </c>
      <c r="J30" s="79">
        <v>359.49</v>
      </c>
      <c r="K30" s="79">
        <v>336.74</v>
      </c>
      <c r="L30" s="80">
        <v>389.49</v>
      </c>
      <c r="M30" s="80">
        <v>375.29</v>
      </c>
      <c r="N30" s="81">
        <v>371.65</v>
      </c>
      <c r="O30" s="82">
        <v>394.46</v>
      </c>
      <c r="P30" s="83">
        <v>371.9</v>
      </c>
      <c r="Q30" s="82">
        <v>381.11</v>
      </c>
      <c r="R30" s="84">
        <v>384.56</v>
      </c>
      <c r="S30" s="85">
        <v>381.08</v>
      </c>
      <c r="T30" s="86">
        <v>370.44</v>
      </c>
      <c r="U30" s="85">
        <v>384.94</v>
      </c>
      <c r="V30" s="87">
        <v>356.74</v>
      </c>
      <c r="W30" s="85">
        <v>426.97</v>
      </c>
      <c r="X30" s="85">
        <v>383.71</v>
      </c>
      <c r="Y30" s="88">
        <v>382.81</v>
      </c>
      <c r="Z30" s="89">
        <v>377.24</v>
      </c>
      <c r="AA30" s="88">
        <v>399.68</v>
      </c>
      <c r="AB30" s="88">
        <v>381.9</v>
      </c>
      <c r="AC30" s="88">
        <v>383.75</v>
      </c>
      <c r="AD30" s="88">
        <v>382.39</v>
      </c>
      <c r="AE30" s="89">
        <v>376.64</v>
      </c>
      <c r="AF30" s="107">
        <v>384.15</v>
      </c>
      <c r="AG30" s="107"/>
      <c r="AH30" s="107"/>
      <c r="AI30" s="90">
        <f>AVERAGE(L30:AF30)</f>
        <v>382.90000000000003</v>
      </c>
    </row>
    <row r="31" spans="1:35" ht="18.5" customHeight="1" x14ac:dyDescent="0.45">
      <c r="A31" s="26" t="s">
        <v>34</v>
      </c>
      <c r="B31" s="58">
        <v>0.1</v>
      </c>
      <c r="C31" s="16"/>
      <c r="D31" s="91"/>
      <c r="E31" s="92"/>
      <c r="F31" s="92"/>
      <c r="G31" s="92"/>
      <c r="H31" s="92"/>
      <c r="I31" s="93"/>
      <c r="J31" s="93"/>
      <c r="K31" s="91"/>
      <c r="L31" s="74">
        <v>0.23</v>
      </c>
      <c r="M31" s="74">
        <v>0.05</v>
      </c>
      <c r="N31" s="74">
        <v>0.25</v>
      </c>
      <c r="O31" s="74">
        <v>0.25</v>
      </c>
      <c r="P31" s="74">
        <v>7.0000000000000007E-2</v>
      </c>
      <c r="Q31" s="74">
        <v>0.17</v>
      </c>
      <c r="R31" s="74">
        <v>0.16</v>
      </c>
      <c r="S31" s="74">
        <v>0.22</v>
      </c>
      <c r="T31" s="74">
        <v>0.19189999999999999</v>
      </c>
      <c r="U31" s="94">
        <v>0.04</v>
      </c>
      <c r="V31" s="95">
        <v>-0.04</v>
      </c>
      <c r="W31" s="74">
        <v>0.15</v>
      </c>
      <c r="X31" s="94">
        <v>0.17</v>
      </c>
      <c r="Y31" s="94">
        <v>0.27</v>
      </c>
      <c r="Z31" s="96">
        <v>0.22</v>
      </c>
      <c r="AA31" s="96">
        <v>0.25</v>
      </c>
      <c r="AB31" s="96">
        <v>0.13</v>
      </c>
      <c r="AC31" s="96">
        <v>0.19</v>
      </c>
      <c r="AD31" s="97"/>
      <c r="AE31" s="97"/>
      <c r="AF31" s="97"/>
      <c r="AG31" s="97"/>
      <c r="AH31" s="97"/>
      <c r="AI31" s="35">
        <f t="shared" ref="AI31:AI33" si="1">AVERAGE(X31:AE31)</f>
        <v>0.20499999999999999</v>
      </c>
    </row>
    <row r="32" spans="1:35" ht="20" customHeight="1" x14ac:dyDescent="0.45">
      <c r="A32" s="26" t="s">
        <v>35</v>
      </c>
      <c r="B32" s="58">
        <v>0.1</v>
      </c>
      <c r="C32" s="16"/>
      <c r="D32" s="91"/>
      <c r="E32" s="91"/>
      <c r="F32" s="91"/>
      <c r="G32" s="91"/>
      <c r="H32" s="91"/>
      <c r="I32" s="91"/>
      <c r="J32" s="91"/>
      <c r="K32" s="91"/>
      <c r="L32" s="74">
        <v>0.23</v>
      </c>
      <c r="M32" s="74">
        <v>0.05</v>
      </c>
      <c r="N32" s="74">
        <v>0.25</v>
      </c>
      <c r="O32" s="74">
        <v>0.25</v>
      </c>
      <c r="P32" s="74">
        <v>7.0000000000000007E-2</v>
      </c>
      <c r="Q32" s="74">
        <v>0.17</v>
      </c>
      <c r="R32" s="74">
        <v>0.16</v>
      </c>
      <c r="S32" s="74">
        <v>0.22</v>
      </c>
      <c r="T32" s="74">
        <v>0.19189999999999999</v>
      </c>
      <c r="U32" s="94">
        <v>0.04</v>
      </c>
      <c r="V32" s="95">
        <v>-0.04</v>
      </c>
      <c r="W32" s="74">
        <v>0.15</v>
      </c>
      <c r="X32" s="94">
        <v>0.17</v>
      </c>
      <c r="Y32" s="94">
        <v>0.27</v>
      </c>
      <c r="Z32" s="96">
        <v>0.22</v>
      </c>
      <c r="AA32" s="96">
        <v>0.25</v>
      </c>
      <c r="AB32" s="96">
        <v>0.13</v>
      </c>
      <c r="AC32" s="96">
        <v>0.19</v>
      </c>
      <c r="AD32" s="97"/>
      <c r="AE32" s="97"/>
      <c r="AF32" s="97"/>
      <c r="AG32" s="97"/>
      <c r="AH32" s="97"/>
      <c r="AI32" s="35">
        <f t="shared" si="1"/>
        <v>0.20499999999999999</v>
      </c>
    </row>
    <row r="33" spans="1:35" ht="21" customHeight="1" x14ac:dyDescent="0.45">
      <c r="A33" s="26" t="s">
        <v>36</v>
      </c>
      <c r="B33" s="58">
        <v>0.56000000000000005</v>
      </c>
      <c r="C33" s="16"/>
      <c r="D33" s="91"/>
      <c r="E33" s="91"/>
      <c r="F33" s="91"/>
      <c r="G33" s="91"/>
      <c r="H33" s="91"/>
      <c r="I33" s="91"/>
      <c r="J33" s="91"/>
      <c r="K33" s="91"/>
      <c r="L33" s="74">
        <v>0.65</v>
      </c>
      <c r="M33" s="74">
        <v>0.5</v>
      </c>
      <c r="N33" s="74">
        <v>0.6</v>
      </c>
      <c r="O33" s="74">
        <v>0.59</v>
      </c>
      <c r="P33" s="74">
        <v>0.48</v>
      </c>
      <c r="Q33" s="74">
        <v>0.56000000000000005</v>
      </c>
      <c r="R33" s="76">
        <v>0.51</v>
      </c>
      <c r="S33" s="75">
        <v>0.56000000000000005</v>
      </c>
      <c r="T33" s="75">
        <v>0.55000000000000004</v>
      </c>
      <c r="U33" s="94">
        <v>0.6</v>
      </c>
      <c r="V33" s="95">
        <v>0.55000000000000004</v>
      </c>
      <c r="W33" s="75">
        <v>0.61</v>
      </c>
      <c r="X33" s="94">
        <v>0.54</v>
      </c>
      <c r="Y33" s="94">
        <v>0.65</v>
      </c>
      <c r="Z33" s="98">
        <v>0.57999999999999996</v>
      </c>
      <c r="AA33" s="98">
        <v>0.6</v>
      </c>
      <c r="AB33" s="98">
        <v>0.55000000000000004</v>
      </c>
      <c r="AC33" s="98">
        <v>0.56999999999999995</v>
      </c>
      <c r="AD33" s="99"/>
      <c r="AE33" s="99"/>
      <c r="AF33" s="99"/>
      <c r="AG33" s="99"/>
      <c r="AH33" s="99"/>
      <c r="AI33" s="35">
        <f t="shared" si="1"/>
        <v>0.58166666666666667</v>
      </c>
    </row>
  </sheetData>
  <conditionalFormatting sqref="C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11">
    <cfRule type="cellIs" priority="12" operator="between">
      <formula>1</formula>
      <formula>100</formula>
    </cfRule>
  </conditionalFormatting>
  <conditionalFormatting sqref="D5 AI5">
    <cfRule type="cellIs" dxfId="12" priority="5" operator="lessThan">
      <formula>$B$5</formula>
    </cfRule>
  </conditionalFormatting>
  <conditionalFormatting sqref="D5:AA5 AI5">
    <cfRule type="cellIs" dxfId="11" priority="6" operator="greaterThanOrEqual">
      <formula>$B$5</formula>
    </cfRule>
  </conditionalFormatting>
  <conditionalFormatting sqref="D3:AI3">
    <cfRule type="cellIs" dxfId="10" priority="9" operator="lessThan">
      <formula>$B$3</formula>
    </cfRule>
    <cfRule type="cellIs" dxfId="9" priority="10" operator="greaterThanOrEqual">
      <formula>$B$3</formula>
    </cfRule>
  </conditionalFormatting>
  <conditionalFormatting sqref="E5:AA5">
    <cfRule type="cellIs" dxfId="8" priority="26" operator="lessThan">
      <formula>$B$5</formula>
    </cfRule>
  </conditionalFormatting>
  <conditionalFormatting sqref="I4 AI4">
    <cfRule type="cellIs" dxfId="7" priority="7" operator="lessThan">
      <formula>$B$4</formula>
    </cfRule>
  </conditionalFormatting>
  <conditionalFormatting sqref="I4:AA4 AI4">
    <cfRule type="cellIs" dxfId="6" priority="8" operator="greaterThanOrEqual">
      <formula>$B$4</formula>
    </cfRule>
  </conditionalFormatting>
  <conditionalFormatting sqref="J6 AI6">
    <cfRule type="cellIs" dxfId="5" priority="3" operator="lessThan">
      <formula>$B$6</formula>
    </cfRule>
  </conditionalFormatting>
  <conditionalFormatting sqref="J4:AA4">
    <cfRule type="cellIs" dxfId="4" priority="24" operator="lessThan">
      <formula>$B$4</formula>
    </cfRule>
  </conditionalFormatting>
  <conditionalFormatting sqref="J6:AA6 AI6">
    <cfRule type="cellIs" dxfId="3" priority="4" operator="greaterThanOrEqual">
      <formula>$B$6</formula>
    </cfRule>
  </conditionalFormatting>
  <conditionalFormatting sqref="K6:AA6">
    <cfRule type="cellIs" dxfId="2" priority="28" operator="lessThan">
      <formula>$B$6</formula>
    </cfRule>
  </conditionalFormatting>
  <conditionalFormatting sqref="X25:AA25">
    <cfRule type="cellIs" dxfId="1" priority="1" operator="greaterThanOrEqual">
      <formula>$B$4</formula>
    </cfRule>
    <cfRule type="cellIs" dxfId="0" priority="2" operator="lessThan">
      <formula>$B$4</formula>
    </cfRule>
  </conditionalFormatting>
  <pageMargins left="0.511811024" right="0.511811024" top="0.78740157500000008" bottom="0.78740157500000008" header="0.31496062000000014" footer="0.31496062000000014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2023 - 2024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morais</dc:creator>
  <cp:lastModifiedBy>Nivaldo morais</cp:lastModifiedBy>
  <cp:revision>63</cp:revision>
  <dcterms:created xsi:type="dcterms:W3CDTF">2023-10-03T19:22:41Z</dcterms:created>
  <dcterms:modified xsi:type="dcterms:W3CDTF">2026-02-06T15:09:20Z</dcterms:modified>
</cp:coreProperties>
</file>